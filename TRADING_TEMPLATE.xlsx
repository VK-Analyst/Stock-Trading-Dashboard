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7A463AA7-56D6-404D-895D-1C8832AC0B89}" xr6:coauthVersionLast="47" xr6:coauthVersionMax="47" xr10:uidLastSave="{00000000-0000-0000-0000-000000000000}"/>
  <bookViews>
    <workbookView xWindow="-120" yWindow="-120" windowWidth="29040" windowHeight="15840" xr2:uid="{92D98523-5C0E-4999-9071-D34760A9B528}"/>
  </bookViews>
  <sheets>
    <sheet name="OVERALL" sheetId="2" r:id="rId1"/>
    <sheet name="DIRECTION WISE" sheetId="11" r:id="rId2"/>
    <sheet name="STRATEGY WISE" sheetId="10" r:id="rId3"/>
    <sheet name="DAYS WISE" sheetId="12" r:id="rId4"/>
    <sheet name="TRADE ENTRY" sheetId="9" r:id="rId5"/>
    <sheet name="RULES" sheetId="6" r:id="rId6"/>
    <sheet name="PIVOT TABLE" sheetId="7" r:id="rId7"/>
  </sheets>
  <definedNames>
    <definedName name="_xlnm._FilterDatabase" localSheetId="4" hidden="1">'TRADE ENTRY'!$Y$10:$AB$506</definedName>
    <definedName name="AM" localSheetId="4">'TRADE ENTRY'!$BG$7</definedName>
    <definedName name="AM">#REF!</definedName>
    <definedName name="Slicer_DAY1">#N/A</definedName>
    <definedName name="Slicer_LONG___SHORT">#N/A</definedName>
    <definedName name="Slicer_MONTH">#N/A</definedName>
    <definedName name="Slicer_STRATEGY_NAME">#N/A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8" i="9" l="1"/>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B28" i="9"/>
  <c r="AB29" i="9"/>
  <c r="AB30" i="9" s="1"/>
  <c r="AB31" i="9" s="1"/>
  <c r="AB32" i="9" s="1"/>
  <c r="AB33" i="9" s="1"/>
  <c r="AB34" i="9" s="1"/>
  <c r="AB35" i="9" s="1"/>
  <c r="AB36" i="9" s="1"/>
  <c r="AB37" i="9" s="1"/>
  <c r="AB38" i="9" s="1"/>
  <c r="AB39" i="9" s="1"/>
  <c r="AB40" i="9" s="1"/>
  <c r="AB41" i="9" s="1"/>
  <c r="AB42" i="9" s="1"/>
  <c r="AB43" i="9" s="1"/>
  <c r="AB44" i="9" s="1"/>
  <c r="AB45" i="9" s="1"/>
  <c r="AB46" i="9" s="1"/>
  <c r="AB47" i="9" s="1"/>
  <c r="AB48" i="9" s="1"/>
  <c r="AB49" i="9" s="1"/>
  <c r="AB50" i="9" s="1"/>
  <c r="AB51" i="9" s="1"/>
  <c r="AB52" i="9" s="1"/>
  <c r="AB53" i="9" s="1"/>
  <c r="AB54" i="9" s="1"/>
  <c r="AB55" i="9" s="1"/>
  <c r="AB56" i="9" s="1"/>
  <c r="AB57" i="9" s="1"/>
  <c r="AB58" i="9" s="1"/>
  <c r="AB59" i="9" s="1"/>
  <c r="AB60" i="9" s="1"/>
  <c r="AB61" i="9" s="1"/>
  <c r="AB62" i="9" s="1"/>
  <c r="AB63" i="9" s="1"/>
  <c r="AB64" i="9" s="1"/>
  <c r="AB65" i="9" s="1"/>
  <c r="AB66" i="9" s="1"/>
  <c r="AB67" i="9" s="1"/>
  <c r="AB68" i="9" s="1"/>
  <c r="AB69" i="9" s="1"/>
  <c r="AB70" i="9" s="1"/>
  <c r="AB71" i="9" s="1"/>
  <c r="AB72" i="9" s="1"/>
  <c r="AB73" i="9" s="1"/>
  <c r="AB74" i="9" s="1"/>
  <c r="AB75" i="9" s="1"/>
  <c r="AB76" i="9" s="1"/>
  <c r="AB77" i="9" s="1"/>
  <c r="AB78" i="9" s="1"/>
  <c r="AB79" i="9" s="1"/>
  <c r="AB80" i="9" s="1"/>
  <c r="AB81" i="9" s="1"/>
  <c r="AB82" i="9" s="1"/>
  <c r="AB83" i="9" s="1"/>
  <c r="AB84" i="9" s="1"/>
  <c r="AB85" i="9" s="1"/>
  <c r="AB86" i="9" s="1"/>
  <c r="AB87" i="9" s="1"/>
  <c r="AB88" i="9" s="1"/>
  <c r="AB89" i="9" s="1"/>
  <c r="AB90" i="9" s="1"/>
  <c r="AB91" i="9" s="1"/>
  <c r="AB92" i="9" s="1"/>
  <c r="AB93" i="9" s="1"/>
  <c r="AB94" i="9" s="1"/>
  <c r="AB95" i="9" s="1"/>
  <c r="AB96" i="9" s="1"/>
  <c r="AB97" i="9" s="1"/>
  <c r="AB98" i="9" s="1"/>
  <c r="AB99" i="9" s="1"/>
  <c r="AB100" i="9" s="1"/>
  <c r="AB101" i="9" s="1"/>
  <c r="AB102" i="9" s="1"/>
  <c r="AB103" i="9" s="1"/>
  <c r="AB104" i="9" s="1"/>
  <c r="AB105" i="9" s="1"/>
  <c r="AB106" i="9" s="1"/>
  <c r="AB107" i="9" s="1"/>
  <c r="AB108" i="9" s="1"/>
  <c r="AB109" i="9" s="1"/>
  <c r="AB110" i="9" s="1"/>
  <c r="AB111" i="9" s="1"/>
  <c r="AB112" i="9" s="1"/>
  <c r="AB113" i="9" s="1"/>
  <c r="AB114" i="9" s="1"/>
  <c r="AB115" i="9" s="1"/>
  <c r="AB116" i="9" s="1"/>
  <c r="AB117" i="9" s="1"/>
  <c r="AB118" i="9" s="1"/>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2" i="9"/>
  <c r="R13" i="9"/>
  <c r="R14" i="9" s="1"/>
  <c r="R15" i="9" s="1"/>
  <c r="R16" i="9" s="1"/>
  <c r="R17" i="9" s="1"/>
  <c r="R18" i="9" s="1"/>
  <c r="R19" i="9" s="1"/>
  <c r="R20" i="9" s="1"/>
  <c r="R21" i="9" s="1"/>
  <c r="R22" i="9" s="1"/>
  <c r="R23" i="9" s="1"/>
  <c r="R24" i="9" s="1"/>
  <c r="R25" i="9" s="1"/>
  <c r="R26" i="9" s="1"/>
  <c r="R27" i="9" s="1"/>
  <c r="R28" i="9" s="1"/>
  <c r="R29" i="9" s="1"/>
  <c r="R30" i="9" s="1"/>
  <c r="R31" i="9" s="1"/>
  <c r="R32" i="9" s="1"/>
  <c r="R33" i="9" s="1"/>
  <c r="R34" i="9" s="1"/>
  <c r="R35" i="9" s="1"/>
  <c r="R36" i="9" s="1"/>
  <c r="R37" i="9" s="1"/>
  <c r="R38" i="9" s="1"/>
  <c r="R39" i="9" s="1"/>
  <c r="R40" i="9" s="1"/>
  <c r="R41" i="9" s="1"/>
  <c r="R42" i="9" s="1"/>
  <c r="R43" i="9" s="1"/>
  <c r="R44" i="9" s="1"/>
  <c r="R45" i="9" s="1"/>
  <c r="R46" i="9" s="1"/>
  <c r="R47" i="9" s="1"/>
  <c r="R48" i="9" s="1"/>
  <c r="R49" i="9" s="1"/>
  <c r="R50" i="9" s="1"/>
  <c r="R51" i="9" s="1"/>
  <c r="R52" i="9" s="1"/>
  <c r="R53" i="9" s="1"/>
  <c r="R54" i="9" s="1"/>
  <c r="R55" i="9" s="1"/>
  <c r="R56" i="9" s="1"/>
  <c r="R57" i="9" s="1"/>
  <c r="R58" i="9" s="1"/>
  <c r="R59" i="9" s="1"/>
  <c r="R60" i="9" s="1"/>
  <c r="R61" i="9" s="1"/>
  <c r="R62" i="9" s="1"/>
  <c r="R63" i="9" s="1"/>
  <c r="R64" i="9" s="1"/>
  <c r="R65" i="9" s="1"/>
  <c r="R66" i="9" s="1"/>
  <c r="R67" i="9" s="1"/>
  <c r="R68" i="9" s="1"/>
  <c r="R69" i="9" s="1"/>
  <c r="R70" i="9" s="1"/>
  <c r="R71" i="9" s="1"/>
  <c r="R72" i="9" s="1"/>
  <c r="R73" i="9" s="1"/>
  <c r="R74" i="9" s="1"/>
  <c r="R75" i="9" s="1"/>
  <c r="R76" i="9" s="1"/>
  <c r="R77" i="9" s="1"/>
  <c r="R78" i="9" s="1"/>
  <c r="R79" i="9" s="1"/>
  <c r="R80" i="9" s="1"/>
  <c r="R81" i="9" s="1"/>
  <c r="R82" i="9" s="1"/>
  <c r="R83" i="9" s="1"/>
  <c r="R84" i="9" s="1"/>
  <c r="R85" i="9" s="1"/>
  <c r="R86" i="9" s="1"/>
  <c r="R87" i="9" s="1"/>
  <c r="R88" i="9" s="1"/>
  <c r="R89" i="9" s="1"/>
  <c r="R90" i="9" s="1"/>
  <c r="R91" i="9" s="1"/>
  <c r="R92" i="9" s="1"/>
  <c r="R93" i="9" s="1"/>
  <c r="R94" i="9" s="1"/>
  <c r="R95" i="9" s="1"/>
  <c r="R96" i="9" s="1"/>
  <c r="R97" i="9" s="1"/>
  <c r="R98" i="9" s="1"/>
  <c r="R99" i="9" s="1"/>
  <c r="R100" i="9" s="1"/>
  <c r="R101" i="9" s="1"/>
  <c r="R102" i="9" s="1"/>
  <c r="R103" i="9" s="1"/>
  <c r="R104" i="9" s="1"/>
  <c r="R105" i="9" s="1"/>
  <c r="R106" i="9" s="1"/>
  <c r="R107" i="9" s="1"/>
  <c r="R108" i="9" s="1"/>
  <c r="R109" i="9" s="1"/>
  <c r="R110" i="9" s="1"/>
  <c r="R111" i="9" s="1"/>
  <c r="R112" i="9" s="1"/>
  <c r="R113" i="9" s="1"/>
  <c r="R114" i="9" s="1"/>
  <c r="R115" i="9" s="1"/>
  <c r="R116" i="9" s="1"/>
  <c r="R117" i="9" s="1"/>
  <c r="R118" i="9" s="1"/>
  <c r="R119" i="9" s="1"/>
  <c r="R120" i="9" s="1"/>
  <c r="R121" i="9" s="1"/>
  <c r="R122" i="9" s="1"/>
  <c r="R123" i="9" s="1"/>
  <c r="R124" i="9" s="1"/>
  <c r="R125" i="9" s="1"/>
  <c r="R126" i="9" s="1"/>
  <c r="R127" i="9" s="1"/>
  <c r="R128" i="9" s="1"/>
  <c r="R129" i="9" s="1"/>
  <c r="R130" i="9" s="1"/>
  <c r="R131" i="9" s="1"/>
  <c r="R132" i="9" s="1"/>
  <c r="AC12" i="9" l="1"/>
  <c r="AA12" i="9"/>
  <c r="R12" i="9"/>
  <c r="AC13" i="9"/>
  <c r="AC14" i="9"/>
  <c r="AC15" i="9"/>
  <c r="AC16" i="9"/>
  <c r="AC17" i="9"/>
  <c r="AC18" i="9"/>
  <c r="AC19" i="9"/>
  <c r="AC20" i="9"/>
  <c r="AC21" i="9"/>
  <c r="AC22" i="9"/>
  <c r="AC23" i="9"/>
  <c r="AC24" i="9"/>
  <c r="AC25" i="9"/>
  <c r="AC26" i="9"/>
  <c r="AC27" i="9"/>
  <c r="BI16" i="9"/>
  <c r="BI17" i="9"/>
  <c r="BI18" i="9" s="1"/>
  <c r="BI19" i="9" s="1"/>
  <c r="BI20" i="9"/>
  <c r="BI21" i="9" s="1"/>
  <c r="BI22" i="9"/>
  <c r="BI23" i="9"/>
  <c r="BI24" i="9" s="1"/>
  <c r="BI25" i="9" s="1"/>
  <c r="BI26" i="9" s="1"/>
  <c r="BI27" i="9"/>
  <c r="BI28" i="9"/>
  <c r="BI29" i="9" s="1"/>
  <c r="BI30" i="9" s="1"/>
  <c r="BI31" i="9" s="1"/>
  <c r="BI32" i="9" s="1"/>
  <c r="BI33" i="9" s="1"/>
  <c r="BI34" i="9" s="1"/>
  <c r="BI35" i="9"/>
  <c r="BI36" i="9"/>
  <c r="BI37" i="9"/>
  <c r="BI38" i="9" s="1"/>
  <c r="BI39" i="9"/>
  <c r="BI40" i="9" s="1"/>
  <c r="BI41" i="9" s="1"/>
  <c r="BI42" i="9"/>
  <c r="BI43" i="9" s="1"/>
  <c r="BI44" i="9" s="1"/>
  <c r="BI45" i="9"/>
  <c r="BI46" i="9"/>
  <c r="BI47" i="9" s="1"/>
  <c r="BI48" i="9"/>
  <c r="BI49" i="9"/>
  <c r="BI50" i="9" s="1"/>
  <c r="BI51" i="9" s="1"/>
  <c r="BI52" i="9" s="1"/>
  <c r="BI53" i="9"/>
  <c r="BI54" i="9"/>
  <c r="BI55" i="9"/>
  <c r="BI56" i="9"/>
  <c r="BI57" i="9"/>
  <c r="BI58" i="9"/>
  <c r="BI59" i="9"/>
  <c r="BI60" i="9" s="1"/>
  <c r="BI61" i="9" s="1"/>
  <c r="BI62" i="9" s="1"/>
  <c r="BI63" i="9" s="1"/>
  <c r="BI64" i="9" s="1"/>
  <c r="BI65" i="9" s="1"/>
  <c r="BI66" i="9"/>
  <c r="BI67" i="9"/>
  <c r="BI68" i="9"/>
  <c r="BI69" i="9"/>
  <c r="BI70" i="9"/>
  <c r="BI71" i="9" s="1"/>
  <c r="BI72" i="9" s="1"/>
  <c r="BI73" i="9"/>
  <c r="BI74" i="9" s="1"/>
  <c r="BI75" i="9"/>
  <c r="BI76" i="9" s="1"/>
  <c r="BI77" i="9"/>
  <c r="BI78" i="9"/>
  <c r="BI79" i="9" s="1"/>
  <c r="BI80" i="9"/>
  <c r="BI81" i="9"/>
  <c r="BI82" i="9"/>
  <c r="BI83" i="9"/>
  <c r="BI84" i="9" s="1"/>
  <c r="BI85" i="9"/>
  <c r="BI86" i="9"/>
  <c r="BI87" i="9"/>
  <c r="BI88" i="9"/>
  <c r="BI89" i="9"/>
  <c r="BI90" i="9" s="1"/>
  <c r="BI91" i="9" s="1"/>
  <c r="BI92" i="9" s="1"/>
  <c r="BI93" i="9"/>
  <c r="BI94" i="9"/>
  <c r="BI95" i="9"/>
  <c r="BI96" i="9"/>
  <c r="BI97" i="9"/>
  <c r="BI98" i="9" s="1"/>
  <c r="BI99" i="9"/>
  <c r="BI100" i="9" s="1"/>
  <c r="BI101" i="9" s="1"/>
  <c r="BI102" i="9"/>
  <c r="BI103" i="9" s="1"/>
  <c r="BI104" i="9"/>
  <c r="BI105" i="9"/>
  <c r="BI106" i="9" s="1"/>
  <c r="BI107" i="9"/>
  <c r="BI108" i="9"/>
  <c r="BI109" i="9"/>
  <c r="BI110" i="9"/>
  <c r="BI111" i="9"/>
  <c r="BI112" i="9"/>
  <c r="BI113" i="9"/>
  <c r="BI114" i="9" s="1"/>
  <c r="BI115" i="9" s="1"/>
  <c r="BI116" i="9"/>
  <c r="BI117" i="9"/>
  <c r="BI118" i="9"/>
  <c r="BI119" i="9" s="1"/>
  <c r="BI120" i="9" s="1"/>
  <c r="BI121" i="9"/>
  <c r="BI122" i="9"/>
  <c r="BI123" i="9"/>
  <c r="BI124" i="9"/>
  <c r="BI125" i="9"/>
  <c r="BI126" i="9"/>
  <c r="BI127" i="9" s="1"/>
  <c r="BI128" i="9" s="1"/>
  <c r="BI129" i="9" s="1"/>
  <c r="BI130" i="9"/>
  <c r="BI131" i="9"/>
  <c r="BI132" i="9" s="1"/>
  <c r="BI133" i="9"/>
  <c r="BI134" i="9"/>
  <c r="BI135" i="9"/>
  <c r="BI136" i="9"/>
  <c r="BI137" i="9"/>
  <c r="BI138" i="9"/>
  <c r="BI139" i="9"/>
  <c r="BI140" i="9"/>
  <c r="BI141" i="9"/>
  <c r="BI142" i="9"/>
  <c r="BI143" i="9"/>
  <c r="BI144" i="9"/>
  <c r="BI145" i="9"/>
  <c r="BI146" i="9"/>
  <c r="BI147" i="9"/>
  <c r="BI148" i="9"/>
  <c r="BI149" i="9"/>
  <c r="BI150" i="9"/>
  <c r="BI151" i="9"/>
  <c r="BI152" i="9"/>
  <c r="BI153" i="9"/>
  <c r="BI154" i="9"/>
  <c r="BI155" i="9"/>
  <c r="BI156" i="9"/>
  <c r="BI157" i="9"/>
  <c r="BI158" i="9"/>
  <c r="BI159" i="9"/>
  <c r="BI160" i="9"/>
  <c r="BI161" i="9"/>
  <c r="BI162" i="9"/>
  <c r="BI163" i="9"/>
  <c r="BI164" i="9"/>
  <c r="BI165" i="9"/>
  <c r="BI166" i="9"/>
  <c r="BI167" i="9"/>
  <c r="BI168" i="9"/>
  <c r="BI169" i="9"/>
  <c r="BI170" i="9"/>
  <c r="BI171" i="9"/>
  <c r="BI172" i="9"/>
  <c r="BI173" i="9"/>
  <c r="BI174" i="9"/>
  <c r="BI175" i="9"/>
  <c r="BI176" i="9"/>
  <c r="BI177" i="9"/>
  <c r="BI178" i="9"/>
  <c r="BI179" i="9"/>
  <c r="BI180" i="9"/>
  <c r="BI181" i="9"/>
  <c r="BI182" i="9"/>
  <c r="BI183" i="9"/>
  <c r="BI184" i="9"/>
  <c r="BI185" i="9"/>
  <c r="BI186" i="9"/>
  <c r="BI187" i="9"/>
  <c r="BI188" i="9"/>
  <c r="BI189" i="9"/>
  <c r="BI190" i="9"/>
  <c r="BI191" i="9"/>
  <c r="BI192" i="9"/>
  <c r="BI193" i="9"/>
  <c r="BI194" i="9"/>
  <c r="BI195" i="9"/>
  <c r="BI196" i="9"/>
  <c r="BI197" i="9"/>
  <c r="BI198" i="9"/>
  <c r="BI199" i="9"/>
  <c r="BI200" i="9"/>
  <c r="BI201" i="9"/>
  <c r="BI202" i="9"/>
  <c r="BI203" i="9"/>
  <c r="BI204" i="9"/>
  <c r="BI205" i="9"/>
  <c r="BI206" i="9"/>
  <c r="BI207" i="9"/>
  <c r="BI208" i="9"/>
  <c r="BI209" i="9"/>
  <c r="BI210" i="9"/>
  <c r="BI211" i="9"/>
  <c r="BI212" i="9"/>
  <c r="BI213" i="9"/>
  <c r="BI214" i="9"/>
  <c r="BI215" i="9"/>
  <c r="BI216" i="9"/>
  <c r="BI217" i="9"/>
  <c r="BI218" i="9"/>
  <c r="BI219" i="9"/>
  <c r="BI220" i="9"/>
  <c r="BI221" i="9"/>
  <c r="BI222" i="9"/>
  <c r="BI223" i="9"/>
  <c r="BI224" i="9"/>
  <c r="BI225" i="9"/>
  <c r="BI226" i="9"/>
  <c r="BI227" i="9"/>
  <c r="BI228" i="9"/>
  <c r="BI229" i="9"/>
  <c r="BI230" i="9"/>
  <c r="BI231" i="9"/>
  <c r="BI232" i="9"/>
  <c r="BI233" i="9"/>
  <c r="BI234" i="9"/>
  <c r="BI235" i="9"/>
  <c r="BI236" i="9"/>
  <c r="BI237" i="9"/>
  <c r="BI238" i="9"/>
  <c r="BI239" i="9"/>
  <c r="BI240" i="9"/>
  <c r="BI241" i="9"/>
  <c r="BI242" i="9"/>
  <c r="BI243" i="9"/>
  <c r="BI244" i="9"/>
  <c r="BI245" i="9"/>
  <c r="BI246" i="9"/>
  <c r="BI247" i="9"/>
  <c r="BI248" i="9"/>
  <c r="BI249" i="9"/>
  <c r="BI250" i="9"/>
  <c r="BI251" i="9"/>
  <c r="BI252" i="9"/>
  <c r="BI253" i="9"/>
  <c r="BI254" i="9"/>
  <c r="BI255" i="9"/>
  <c r="BI256" i="9"/>
  <c r="BI257" i="9"/>
  <c r="BI258" i="9"/>
  <c r="BI259" i="9"/>
  <c r="BI260" i="9"/>
  <c r="BI261" i="9"/>
  <c r="BI262" i="9"/>
  <c r="BI263" i="9"/>
  <c r="BI264" i="9"/>
  <c r="BI265" i="9"/>
  <c r="BI266" i="9"/>
  <c r="BI267" i="9"/>
  <c r="BI268" i="9"/>
  <c r="BI269" i="9"/>
  <c r="BI270" i="9"/>
  <c r="BI271" i="9"/>
  <c r="BI272" i="9"/>
  <c r="BI273" i="9"/>
  <c r="BI274" i="9"/>
  <c r="BI275" i="9"/>
  <c r="BI276" i="9"/>
  <c r="BI277" i="9"/>
  <c r="BI278" i="9"/>
  <c r="BI279" i="9"/>
  <c r="BI280" i="9"/>
  <c r="BI281" i="9"/>
  <c r="BI282" i="9"/>
  <c r="BI283" i="9"/>
  <c r="BI284" i="9"/>
  <c r="BI285" i="9"/>
  <c r="BI286" i="9"/>
  <c r="BI287" i="9"/>
  <c r="BI288" i="9"/>
  <c r="BI289" i="9"/>
  <c r="BI290" i="9"/>
  <c r="BI291" i="9"/>
  <c r="BI292" i="9"/>
  <c r="BI293" i="9"/>
  <c r="BI294" i="9"/>
  <c r="BI295" i="9"/>
  <c r="BI296" i="9"/>
  <c r="BI297" i="9"/>
  <c r="BI298" i="9"/>
  <c r="BI299" i="9"/>
  <c r="BI300" i="9"/>
  <c r="BI301" i="9"/>
  <c r="BI302" i="9"/>
  <c r="BI303" i="9"/>
  <c r="BI304" i="9"/>
  <c r="BI305" i="9"/>
  <c r="BI306" i="9"/>
  <c r="BI307" i="9"/>
  <c r="BI308" i="9"/>
  <c r="BI309" i="9"/>
  <c r="BI310" i="9"/>
  <c r="BI311" i="9"/>
  <c r="BI312" i="9"/>
  <c r="BI313" i="9"/>
  <c r="BI314" i="9"/>
  <c r="BI315" i="9"/>
  <c r="BI316" i="9"/>
  <c r="BI317" i="9"/>
  <c r="BI318" i="9"/>
  <c r="BI319" i="9"/>
  <c r="BI320" i="9"/>
  <c r="BI321" i="9"/>
  <c r="BI322" i="9"/>
  <c r="BI323" i="9"/>
  <c r="BI324" i="9"/>
  <c r="BI325" i="9"/>
  <c r="BI326" i="9"/>
  <c r="BI327" i="9"/>
  <c r="BI328" i="9"/>
  <c r="BI329" i="9"/>
  <c r="BI330" i="9"/>
  <c r="BI331" i="9"/>
  <c r="BI332" i="9"/>
  <c r="BI333" i="9"/>
  <c r="BI334" i="9"/>
  <c r="BI335" i="9"/>
  <c r="BI336" i="9"/>
  <c r="BI337" i="9"/>
  <c r="BI338" i="9"/>
  <c r="BI339" i="9"/>
  <c r="BI340" i="9"/>
  <c r="BI341" i="9"/>
  <c r="BI342" i="9"/>
  <c r="BI343" i="9"/>
  <c r="BI344" i="9"/>
  <c r="BI345" i="9"/>
  <c r="BI346" i="9"/>
  <c r="BI347" i="9"/>
  <c r="BI348" i="9"/>
  <c r="BI349" i="9"/>
  <c r="BI350" i="9"/>
  <c r="BI351" i="9"/>
  <c r="BI352" i="9"/>
  <c r="BI353" i="9"/>
  <c r="BI354" i="9"/>
  <c r="BI355" i="9"/>
  <c r="BI356" i="9"/>
  <c r="BI357" i="9"/>
  <c r="BI358" i="9"/>
  <c r="BI359" i="9"/>
  <c r="BI360" i="9"/>
  <c r="BI361" i="9"/>
  <c r="BI362" i="9"/>
  <c r="BI363" i="9"/>
  <c r="BI364" i="9"/>
  <c r="BI365" i="9"/>
  <c r="BI366" i="9"/>
  <c r="BI367" i="9"/>
  <c r="BI368" i="9"/>
  <c r="BI369" i="9"/>
  <c r="BI370" i="9"/>
  <c r="BI371" i="9"/>
  <c r="BI372" i="9"/>
  <c r="BI373" i="9"/>
  <c r="BI374" i="9"/>
  <c r="BI375" i="9"/>
  <c r="BI376" i="9"/>
  <c r="BI377" i="9"/>
  <c r="BI378" i="9"/>
  <c r="BI379" i="9"/>
  <c r="BI380" i="9"/>
  <c r="BI381" i="9"/>
  <c r="BI382" i="9"/>
  <c r="BI383" i="9"/>
  <c r="BI384" i="9"/>
  <c r="BI385" i="9"/>
  <c r="BI386" i="9"/>
  <c r="BI387" i="9"/>
  <c r="BI388" i="9"/>
  <c r="BI389" i="9"/>
  <c r="BI390" i="9"/>
  <c r="BI391" i="9"/>
  <c r="BI392" i="9"/>
  <c r="BI393" i="9"/>
  <c r="BI394" i="9"/>
  <c r="BI395" i="9"/>
  <c r="BI396" i="9"/>
  <c r="BI397" i="9"/>
  <c r="BI398" i="9"/>
  <c r="BI399" i="9"/>
  <c r="BI400" i="9"/>
  <c r="BI401" i="9"/>
  <c r="BI402" i="9"/>
  <c r="BI403" i="9"/>
  <c r="BI404" i="9"/>
  <c r="BI405" i="9"/>
  <c r="BI406" i="9"/>
  <c r="BI407" i="9"/>
  <c r="BI408" i="9"/>
  <c r="BI409" i="9"/>
  <c r="BI410" i="9"/>
  <c r="BI411" i="9"/>
  <c r="BI412" i="9"/>
  <c r="BI413" i="9"/>
  <c r="BI414" i="9"/>
  <c r="BI415" i="9"/>
  <c r="BI416" i="9"/>
  <c r="BI417" i="9"/>
  <c r="BI418" i="9"/>
  <c r="BI419" i="9"/>
  <c r="BI420" i="9"/>
  <c r="BI421" i="9"/>
  <c r="BI422" i="9"/>
  <c r="BI423" i="9"/>
  <c r="BI424" i="9"/>
  <c r="BI425" i="9"/>
  <c r="BI426" i="9"/>
  <c r="BI427" i="9"/>
  <c r="BI428" i="9"/>
  <c r="BI429" i="9"/>
  <c r="BI430" i="9"/>
  <c r="BI431" i="9"/>
  <c r="BI432" i="9"/>
  <c r="BI433" i="9"/>
  <c r="BI434" i="9"/>
  <c r="BI435" i="9"/>
  <c r="BI436" i="9"/>
  <c r="BI437" i="9"/>
  <c r="BI438" i="9"/>
  <c r="BI439" i="9"/>
  <c r="BI440" i="9"/>
  <c r="BI441" i="9"/>
  <c r="BI442" i="9"/>
  <c r="BI443" i="9"/>
  <c r="BI444" i="9"/>
  <c r="BI445" i="9"/>
  <c r="BI446" i="9"/>
  <c r="BI447" i="9"/>
  <c r="BI448" i="9"/>
  <c r="BI449" i="9"/>
  <c r="BI450" i="9"/>
  <c r="BI451" i="9"/>
  <c r="BI452" i="9"/>
  <c r="BI453" i="9"/>
  <c r="BI454" i="9"/>
  <c r="BI455" i="9"/>
  <c r="BI456" i="9"/>
  <c r="BI457" i="9"/>
  <c r="BI458" i="9"/>
  <c r="BI459" i="9"/>
  <c r="BI460" i="9"/>
  <c r="BI461" i="9"/>
  <c r="BI462" i="9"/>
  <c r="BI463" i="9"/>
  <c r="BI464" i="9"/>
  <c r="BI465" i="9"/>
  <c r="BI466" i="9"/>
  <c r="BI467" i="9"/>
  <c r="BI468" i="9"/>
  <c r="BI469" i="9"/>
  <c r="BI470" i="9"/>
  <c r="BI471" i="9"/>
  <c r="BI472" i="9"/>
  <c r="BI473" i="9"/>
  <c r="BI474" i="9"/>
  <c r="BI475" i="9"/>
  <c r="BI476" i="9"/>
  <c r="BI477" i="9"/>
  <c r="BI478" i="9"/>
  <c r="BI479" i="9"/>
  <c r="BI480" i="9"/>
  <c r="BI481" i="9"/>
  <c r="BI482" i="9"/>
  <c r="BI483" i="9"/>
  <c r="BI484" i="9"/>
  <c r="BI485" i="9"/>
  <c r="BI486" i="9"/>
  <c r="BI487" i="9"/>
  <c r="BI488" i="9"/>
  <c r="BI489" i="9"/>
  <c r="BI490" i="9"/>
  <c r="BI491" i="9"/>
  <c r="BI13" i="9"/>
  <c r="BI14" i="9" s="1"/>
  <c r="BI15" i="9" s="1"/>
  <c r="BJ13" i="9"/>
  <c r="BJ14" i="9" s="1"/>
  <c r="BJ15" i="9" s="1"/>
  <c r="BJ16" i="9" s="1"/>
  <c r="BJ17" i="9" s="1"/>
  <c r="BJ18" i="9" s="1"/>
  <c r="BJ19" i="9"/>
  <c r="BJ20" i="9" s="1"/>
  <c r="BJ21" i="9"/>
  <c r="BJ22" i="9" s="1"/>
  <c r="BJ23" i="9" s="1"/>
  <c r="BJ24" i="9" s="1"/>
  <c r="BJ25" i="9"/>
  <c r="BJ26" i="9" s="1"/>
  <c r="BJ27" i="9" s="1"/>
  <c r="BJ28" i="9" s="1"/>
  <c r="BJ29" i="9" s="1"/>
  <c r="BJ30" i="9" s="1"/>
  <c r="BJ31" i="9" s="1"/>
  <c r="BJ32" i="9" s="1"/>
  <c r="BJ33" i="9" s="1"/>
  <c r="BJ34" i="9" s="1"/>
  <c r="BJ35" i="9" s="1"/>
  <c r="BJ36" i="9" s="1"/>
  <c r="BJ37" i="9" s="1"/>
  <c r="BJ38" i="9" s="1"/>
  <c r="BJ39" i="9" s="1"/>
  <c r="BJ40" i="9" s="1"/>
  <c r="BJ41" i="9" s="1"/>
  <c r="BJ42" i="9" s="1"/>
  <c r="BJ43" i="9" s="1"/>
  <c r="BJ44" i="9" s="1"/>
  <c r="BJ45" i="9" s="1"/>
  <c r="BJ46" i="9"/>
  <c r="BJ47" i="9"/>
  <c r="BJ48" i="9"/>
  <c r="BJ49" i="9" s="1"/>
  <c r="BJ50" i="9"/>
  <c r="BJ51" i="9"/>
  <c r="BJ52" i="9"/>
  <c r="BJ53" i="9" s="1"/>
  <c r="BJ54" i="9"/>
  <c r="BJ55" i="9" s="1"/>
  <c r="BJ56" i="9" s="1"/>
  <c r="BJ57" i="9"/>
  <c r="BJ58" i="9"/>
  <c r="BJ59" i="9"/>
  <c r="BJ60" i="9"/>
  <c r="BJ61" i="9"/>
  <c r="BJ62" i="9"/>
  <c r="BJ63" i="9"/>
  <c r="BJ64" i="9"/>
  <c r="BJ65" i="9"/>
  <c r="BJ66" i="9"/>
  <c r="BJ67" i="9"/>
  <c r="BJ68" i="9" s="1"/>
  <c r="BJ69" i="9"/>
  <c r="BJ70" i="9"/>
  <c r="BJ71" i="9"/>
  <c r="BJ72" i="9"/>
  <c r="BJ73" i="9" s="1"/>
  <c r="BJ74" i="9"/>
  <c r="BJ75" i="9"/>
  <c r="BJ76" i="9"/>
  <c r="BJ77" i="9" s="1"/>
  <c r="BJ78" i="9"/>
  <c r="BJ79" i="9"/>
  <c r="BJ80" i="9"/>
  <c r="BJ81" i="9"/>
  <c r="BJ82" i="9"/>
  <c r="BJ83" i="9"/>
  <c r="BJ84" i="9"/>
  <c r="BJ85" i="9"/>
  <c r="BJ86" i="9"/>
  <c r="BJ87" i="9" s="1"/>
  <c r="BJ88" i="9" s="1"/>
  <c r="BJ89" i="9" s="1"/>
  <c r="BJ90" i="9"/>
  <c r="BJ91" i="9"/>
  <c r="BJ92" i="9"/>
  <c r="BJ93" i="9"/>
  <c r="BJ94" i="9"/>
  <c r="BJ95" i="9" s="1"/>
  <c r="BJ96" i="9"/>
  <c r="BJ97" i="9"/>
  <c r="BJ98" i="9"/>
  <c r="BJ99" i="9"/>
  <c r="BJ100" i="9"/>
  <c r="BJ101" i="9"/>
  <c r="BJ102" i="9"/>
  <c r="BJ103" i="9"/>
  <c r="BJ104" i="9"/>
  <c r="BJ105" i="9"/>
  <c r="BJ106" i="9"/>
  <c r="BJ107" i="9"/>
  <c r="BJ108" i="9" s="1"/>
  <c r="BJ109" i="9"/>
  <c r="BJ110" i="9"/>
  <c r="BJ111" i="9" s="1"/>
  <c r="BJ112" i="9" s="1"/>
  <c r="BJ113" i="9"/>
  <c r="BJ114" i="9"/>
  <c r="BJ115" i="9"/>
  <c r="BJ116" i="9" s="1"/>
  <c r="BJ117" i="9"/>
  <c r="BJ118" i="9"/>
  <c r="BJ119" i="9"/>
  <c r="BJ120" i="9"/>
  <c r="BJ121" i="9" s="1"/>
  <c r="BJ122" i="9" s="1"/>
  <c r="BJ123" i="9"/>
  <c r="BJ124" i="9" s="1"/>
  <c r="BJ125" i="9"/>
  <c r="BJ126" i="9"/>
  <c r="BJ127" i="9"/>
  <c r="BJ128" i="9"/>
  <c r="BJ129" i="9"/>
  <c r="BJ130" i="9"/>
  <c r="BJ131" i="9"/>
  <c r="BJ132" i="9"/>
  <c r="BJ133" i="9"/>
  <c r="BJ134" i="9"/>
  <c r="BJ135" i="9"/>
  <c r="BJ136" i="9"/>
  <c r="BJ137" i="9"/>
  <c r="BJ138" i="9"/>
  <c r="BJ139" i="9"/>
  <c r="BJ140" i="9"/>
  <c r="BJ141" i="9"/>
  <c r="BJ142" i="9"/>
  <c r="BJ143" i="9"/>
  <c r="BJ144" i="9"/>
  <c r="BJ145" i="9"/>
  <c r="BJ146" i="9"/>
  <c r="BJ147" i="9"/>
  <c r="BJ148" i="9"/>
  <c r="BJ149" i="9"/>
  <c r="BJ150" i="9"/>
  <c r="BJ151" i="9"/>
  <c r="BJ152" i="9"/>
  <c r="BJ153" i="9"/>
  <c r="BJ154" i="9"/>
  <c r="BJ155" i="9"/>
  <c r="BJ156" i="9"/>
  <c r="BJ157" i="9"/>
  <c r="BJ158" i="9"/>
  <c r="BJ159" i="9"/>
  <c r="BJ160" i="9"/>
  <c r="BJ161" i="9"/>
  <c r="BJ162" i="9"/>
  <c r="BJ163" i="9"/>
  <c r="BJ164" i="9"/>
  <c r="BJ165" i="9"/>
  <c r="BJ166" i="9"/>
  <c r="BJ167" i="9"/>
  <c r="BJ168" i="9"/>
  <c r="BJ169" i="9"/>
  <c r="BJ170" i="9"/>
  <c r="BJ171" i="9"/>
  <c r="BJ172" i="9"/>
  <c r="BJ173" i="9"/>
  <c r="BJ174" i="9"/>
  <c r="BJ175" i="9"/>
  <c r="BJ176" i="9"/>
  <c r="BJ177" i="9"/>
  <c r="BJ178" i="9"/>
  <c r="BJ179" i="9"/>
  <c r="BJ180" i="9"/>
  <c r="BJ181" i="9"/>
  <c r="BJ182" i="9"/>
  <c r="BJ183" i="9"/>
  <c r="BJ184" i="9"/>
  <c r="BJ185" i="9"/>
  <c r="BJ186" i="9"/>
  <c r="BJ187" i="9"/>
  <c r="BJ188" i="9"/>
  <c r="BJ189" i="9"/>
  <c r="BJ190" i="9"/>
  <c r="BJ191" i="9"/>
  <c r="BJ192" i="9"/>
  <c r="BJ193" i="9"/>
  <c r="BJ194" i="9"/>
  <c r="BJ195" i="9"/>
  <c r="BJ196" i="9"/>
  <c r="BJ197" i="9"/>
  <c r="BJ198" i="9"/>
  <c r="BJ199" i="9"/>
  <c r="BJ200" i="9"/>
  <c r="BJ201" i="9"/>
  <c r="BJ202" i="9"/>
  <c r="BJ203" i="9"/>
  <c r="BJ204" i="9"/>
  <c r="BJ205" i="9"/>
  <c r="BJ206" i="9"/>
  <c r="BJ207" i="9"/>
  <c r="BJ208" i="9"/>
  <c r="BJ209" i="9"/>
  <c r="BJ210" i="9"/>
  <c r="BJ211" i="9"/>
  <c r="BJ212" i="9"/>
  <c r="BJ213" i="9"/>
  <c r="BJ214" i="9"/>
  <c r="BJ215" i="9"/>
  <c r="BJ216" i="9"/>
  <c r="BJ217" i="9"/>
  <c r="BJ218" i="9"/>
  <c r="BJ219" i="9"/>
  <c r="BJ220" i="9"/>
  <c r="BJ221" i="9"/>
  <c r="BJ222" i="9"/>
  <c r="BJ223" i="9"/>
  <c r="BJ224" i="9"/>
  <c r="BJ225" i="9"/>
  <c r="BJ226" i="9"/>
  <c r="BJ227" i="9"/>
  <c r="BJ228" i="9"/>
  <c r="BJ229" i="9"/>
  <c r="BJ230" i="9"/>
  <c r="BJ231" i="9"/>
  <c r="BJ232" i="9"/>
  <c r="BJ233" i="9"/>
  <c r="BJ234" i="9"/>
  <c r="BJ235" i="9"/>
  <c r="BJ236" i="9"/>
  <c r="BJ237" i="9"/>
  <c r="BJ238" i="9"/>
  <c r="BJ239" i="9"/>
  <c r="BJ240" i="9"/>
  <c r="BJ241" i="9"/>
  <c r="BJ242" i="9"/>
  <c r="BJ243" i="9"/>
  <c r="BJ244" i="9"/>
  <c r="BJ245" i="9"/>
  <c r="BJ246" i="9"/>
  <c r="BJ247" i="9"/>
  <c r="BJ248" i="9"/>
  <c r="BJ249" i="9"/>
  <c r="BJ250" i="9"/>
  <c r="BJ251" i="9"/>
  <c r="BJ252" i="9"/>
  <c r="BJ253" i="9"/>
  <c r="BJ254" i="9"/>
  <c r="BJ255" i="9"/>
  <c r="BJ256" i="9"/>
  <c r="BJ257" i="9"/>
  <c r="BJ258" i="9"/>
  <c r="BJ259" i="9"/>
  <c r="BJ260" i="9"/>
  <c r="BJ261" i="9"/>
  <c r="BJ262" i="9"/>
  <c r="BJ263" i="9"/>
  <c r="BJ264" i="9"/>
  <c r="BJ265" i="9"/>
  <c r="BJ266" i="9"/>
  <c r="BJ267" i="9"/>
  <c r="BJ268" i="9"/>
  <c r="BJ269" i="9"/>
  <c r="BJ270" i="9"/>
  <c r="BJ271" i="9"/>
  <c r="BJ272" i="9"/>
  <c r="BJ273" i="9"/>
  <c r="BJ274" i="9"/>
  <c r="BJ275" i="9"/>
  <c r="BJ276" i="9"/>
  <c r="BJ277" i="9"/>
  <c r="BJ278" i="9"/>
  <c r="BJ279" i="9"/>
  <c r="BJ280" i="9"/>
  <c r="BJ281" i="9"/>
  <c r="BJ282" i="9"/>
  <c r="BJ283" i="9"/>
  <c r="BJ284" i="9"/>
  <c r="BJ285" i="9"/>
  <c r="BJ286" i="9"/>
  <c r="BJ287" i="9"/>
  <c r="BJ288" i="9"/>
  <c r="BJ289" i="9"/>
  <c r="BJ290" i="9"/>
  <c r="BJ291" i="9"/>
  <c r="BJ292" i="9"/>
  <c r="BJ293" i="9"/>
  <c r="BJ294" i="9"/>
  <c r="BJ295" i="9"/>
  <c r="BJ296" i="9"/>
  <c r="BJ297" i="9"/>
  <c r="BJ298" i="9"/>
  <c r="BJ299" i="9"/>
  <c r="BJ300" i="9"/>
  <c r="BJ301" i="9"/>
  <c r="BJ302" i="9"/>
  <c r="BJ303" i="9"/>
  <c r="BJ304" i="9"/>
  <c r="BJ305" i="9"/>
  <c r="BJ306" i="9"/>
  <c r="BJ307" i="9"/>
  <c r="BJ308" i="9"/>
  <c r="BJ309" i="9"/>
  <c r="BJ310" i="9"/>
  <c r="BJ311" i="9"/>
  <c r="BJ312" i="9"/>
  <c r="BJ313" i="9"/>
  <c r="BJ314" i="9"/>
  <c r="BJ315" i="9"/>
  <c r="BJ316" i="9"/>
  <c r="BJ317" i="9"/>
  <c r="BJ318" i="9"/>
  <c r="BJ319" i="9"/>
  <c r="BJ320" i="9"/>
  <c r="BJ321" i="9"/>
  <c r="BJ322" i="9"/>
  <c r="BJ323" i="9"/>
  <c r="BJ324" i="9"/>
  <c r="BJ325" i="9"/>
  <c r="BJ326" i="9"/>
  <c r="BJ327" i="9"/>
  <c r="BJ328" i="9"/>
  <c r="BJ329" i="9"/>
  <c r="BJ330" i="9"/>
  <c r="BJ331" i="9"/>
  <c r="BJ332" i="9"/>
  <c r="BJ333" i="9"/>
  <c r="BJ334" i="9"/>
  <c r="BJ335" i="9"/>
  <c r="BJ336" i="9"/>
  <c r="BJ337" i="9"/>
  <c r="BJ338" i="9"/>
  <c r="BJ339" i="9"/>
  <c r="BJ340" i="9"/>
  <c r="BJ341" i="9"/>
  <c r="BJ342" i="9"/>
  <c r="BJ343" i="9"/>
  <c r="BJ344" i="9"/>
  <c r="BJ345" i="9"/>
  <c r="BJ346" i="9"/>
  <c r="BJ347" i="9"/>
  <c r="BJ348" i="9"/>
  <c r="BJ349" i="9"/>
  <c r="BJ350" i="9"/>
  <c r="BJ351" i="9"/>
  <c r="BJ352" i="9"/>
  <c r="BJ353" i="9"/>
  <c r="BJ354" i="9"/>
  <c r="BJ355" i="9"/>
  <c r="BJ356" i="9"/>
  <c r="BJ357" i="9"/>
  <c r="BJ358" i="9"/>
  <c r="BJ359" i="9"/>
  <c r="BJ360" i="9"/>
  <c r="BJ361" i="9"/>
  <c r="BJ362" i="9"/>
  <c r="BJ363" i="9"/>
  <c r="BJ364" i="9"/>
  <c r="BJ365" i="9"/>
  <c r="BJ366" i="9"/>
  <c r="BJ367" i="9"/>
  <c r="BJ368" i="9"/>
  <c r="BJ369" i="9"/>
  <c r="BJ370" i="9"/>
  <c r="BJ371" i="9"/>
  <c r="BJ372" i="9"/>
  <c r="BJ373" i="9"/>
  <c r="BJ374" i="9"/>
  <c r="BJ375" i="9"/>
  <c r="BJ376" i="9"/>
  <c r="BJ377" i="9"/>
  <c r="BJ378" i="9"/>
  <c r="BJ379" i="9"/>
  <c r="BJ380" i="9"/>
  <c r="BJ381" i="9"/>
  <c r="BJ382" i="9"/>
  <c r="BJ383" i="9"/>
  <c r="BJ384" i="9"/>
  <c r="BJ385" i="9"/>
  <c r="BJ386" i="9"/>
  <c r="BJ387" i="9"/>
  <c r="BJ388" i="9"/>
  <c r="BJ389" i="9"/>
  <c r="BJ390" i="9"/>
  <c r="BJ391" i="9"/>
  <c r="BJ392" i="9"/>
  <c r="BJ393" i="9"/>
  <c r="BJ394" i="9"/>
  <c r="BJ395" i="9"/>
  <c r="BJ396" i="9"/>
  <c r="BJ397" i="9"/>
  <c r="BJ398" i="9"/>
  <c r="BJ399" i="9"/>
  <c r="BJ400" i="9"/>
  <c r="BJ401" i="9"/>
  <c r="BJ402" i="9"/>
  <c r="BJ403" i="9"/>
  <c r="BJ404" i="9"/>
  <c r="BJ405" i="9"/>
  <c r="BJ406" i="9"/>
  <c r="BJ407" i="9"/>
  <c r="BJ408" i="9"/>
  <c r="BJ409" i="9"/>
  <c r="BJ410" i="9"/>
  <c r="BJ411" i="9"/>
  <c r="BJ412" i="9"/>
  <c r="BJ413" i="9"/>
  <c r="BJ414" i="9"/>
  <c r="BJ415" i="9"/>
  <c r="BJ416" i="9"/>
  <c r="BJ417" i="9"/>
  <c r="BJ418" i="9"/>
  <c r="BJ419" i="9"/>
  <c r="BJ420" i="9"/>
  <c r="BJ421" i="9"/>
  <c r="BJ422" i="9"/>
  <c r="BJ423" i="9"/>
  <c r="BJ424" i="9"/>
  <c r="BJ425" i="9"/>
  <c r="BJ426" i="9"/>
  <c r="BJ427" i="9"/>
  <c r="BJ428" i="9"/>
  <c r="BJ429" i="9"/>
  <c r="BJ430" i="9"/>
  <c r="BJ431" i="9"/>
  <c r="BJ432" i="9"/>
  <c r="BJ433" i="9"/>
  <c r="BJ434" i="9"/>
  <c r="BJ435" i="9"/>
  <c r="BJ436" i="9"/>
  <c r="BJ437" i="9"/>
  <c r="BJ438" i="9"/>
  <c r="BJ439" i="9"/>
  <c r="BJ440" i="9"/>
  <c r="BJ441" i="9"/>
  <c r="BJ442" i="9"/>
  <c r="BJ443" i="9"/>
  <c r="BJ444" i="9"/>
  <c r="BJ445" i="9"/>
  <c r="BJ446" i="9"/>
  <c r="BJ447" i="9"/>
  <c r="BJ448" i="9"/>
  <c r="BJ449" i="9"/>
  <c r="BJ450" i="9"/>
  <c r="BJ451" i="9"/>
  <c r="BJ452" i="9"/>
  <c r="BJ453" i="9"/>
  <c r="BJ454" i="9"/>
  <c r="BJ455" i="9"/>
  <c r="BJ456" i="9"/>
  <c r="BJ457" i="9"/>
  <c r="BJ458" i="9"/>
  <c r="BJ459" i="9"/>
  <c r="BJ460" i="9"/>
  <c r="BJ461" i="9"/>
  <c r="BJ462" i="9"/>
  <c r="BJ463" i="9"/>
  <c r="BJ464" i="9"/>
  <c r="BJ465" i="9"/>
  <c r="BJ466" i="9"/>
  <c r="BJ467" i="9"/>
  <c r="BJ468" i="9"/>
  <c r="BJ469" i="9"/>
  <c r="BJ470" i="9"/>
  <c r="BJ471" i="9"/>
  <c r="BJ472" i="9"/>
  <c r="BJ473" i="9"/>
  <c r="BJ474" i="9"/>
  <c r="BJ475" i="9"/>
  <c r="BJ476" i="9"/>
  <c r="BJ477" i="9"/>
  <c r="BJ478" i="9"/>
  <c r="BJ479" i="9"/>
  <c r="BJ480" i="9"/>
  <c r="BJ481" i="9"/>
  <c r="BJ482" i="9"/>
  <c r="BJ483" i="9"/>
  <c r="BJ484" i="9"/>
  <c r="BJ485" i="9"/>
  <c r="BJ486" i="9"/>
  <c r="BJ487" i="9"/>
  <c r="BJ488" i="9"/>
  <c r="BJ489" i="9"/>
  <c r="BJ490" i="9"/>
  <c r="BJ491" i="9"/>
  <c r="BH14" i="9"/>
  <c r="BH15" i="9"/>
  <c r="BH16" i="9"/>
  <c r="BH17" i="9"/>
  <c r="BH18" i="9"/>
  <c r="BH19" i="9"/>
  <c r="BH20" i="9"/>
  <c r="BH21" i="9"/>
  <c r="BH22" i="9"/>
  <c r="BH23" i="9"/>
  <c r="BH24" i="9"/>
  <c r="BH25" i="9"/>
  <c r="BH26" i="9"/>
  <c r="BH27" i="9"/>
  <c r="BH28" i="9"/>
  <c r="BH29" i="9"/>
  <c r="BH30" i="9"/>
  <c r="BH31" i="9"/>
  <c r="BH32" i="9"/>
  <c r="BH33" i="9"/>
  <c r="BH34" i="9"/>
  <c r="BH35" i="9"/>
  <c r="BH36" i="9"/>
  <c r="BH37" i="9"/>
  <c r="BH38" i="9"/>
  <c r="BH39" i="9"/>
  <c r="BH40" i="9"/>
  <c r="BH41" i="9"/>
  <c r="BH42" i="9"/>
  <c r="BH43" i="9"/>
  <c r="BH44" i="9"/>
  <c r="BH45" i="9"/>
  <c r="BH46" i="9"/>
  <c r="BH47" i="9"/>
  <c r="BH48" i="9"/>
  <c r="BH49" i="9"/>
  <c r="BH50" i="9"/>
  <c r="BH51" i="9"/>
  <c r="BH52" i="9"/>
  <c r="BH53" i="9"/>
  <c r="BH54" i="9"/>
  <c r="BH55" i="9"/>
  <c r="BH56" i="9"/>
  <c r="BH57" i="9"/>
  <c r="BH58" i="9"/>
  <c r="BH59" i="9"/>
  <c r="BH60" i="9"/>
  <c r="BH61" i="9"/>
  <c r="BH62" i="9"/>
  <c r="BH63" i="9"/>
  <c r="BH64" i="9"/>
  <c r="BH65" i="9"/>
  <c r="BH66" i="9"/>
  <c r="BH67" i="9"/>
  <c r="BH68" i="9"/>
  <c r="BH69" i="9"/>
  <c r="BH70" i="9"/>
  <c r="BH71" i="9"/>
  <c r="BH72" i="9"/>
  <c r="BH73" i="9"/>
  <c r="BH74" i="9"/>
  <c r="BH75" i="9"/>
  <c r="BH76" i="9"/>
  <c r="BH77" i="9"/>
  <c r="BH78" i="9"/>
  <c r="BH79" i="9"/>
  <c r="BH80" i="9"/>
  <c r="BH81" i="9"/>
  <c r="BH82" i="9"/>
  <c r="BH83" i="9"/>
  <c r="BH84" i="9"/>
  <c r="BH85" i="9"/>
  <c r="BH86" i="9"/>
  <c r="BH87" i="9"/>
  <c r="BH88" i="9"/>
  <c r="BH89" i="9"/>
  <c r="BH90" i="9"/>
  <c r="BH91" i="9"/>
  <c r="BH92" i="9"/>
  <c r="BH93" i="9"/>
  <c r="BH94" i="9"/>
  <c r="BH95" i="9"/>
  <c r="BH96" i="9"/>
  <c r="BH97" i="9"/>
  <c r="BH98" i="9"/>
  <c r="BH99" i="9"/>
  <c r="BH100" i="9"/>
  <c r="BH101" i="9"/>
  <c r="BH102" i="9"/>
  <c r="BH103" i="9"/>
  <c r="BH104" i="9"/>
  <c r="BH105" i="9"/>
  <c r="BH106" i="9"/>
  <c r="BH107" i="9"/>
  <c r="BH108" i="9"/>
  <c r="BH109" i="9"/>
  <c r="BH110" i="9"/>
  <c r="BH111" i="9"/>
  <c r="BH112" i="9"/>
  <c r="BH113" i="9"/>
  <c r="BH114" i="9"/>
  <c r="BH115" i="9"/>
  <c r="BH116" i="9"/>
  <c r="BH117" i="9"/>
  <c r="BH118" i="9"/>
  <c r="BH119" i="9"/>
  <c r="BH120" i="9"/>
  <c r="BH121" i="9"/>
  <c r="BH122" i="9"/>
  <c r="BH123" i="9"/>
  <c r="BH124" i="9"/>
  <c r="BH125" i="9"/>
  <c r="BH126" i="9"/>
  <c r="BH127" i="9"/>
  <c r="BH128" i="9"/>
  <c r="BH129" i="9"/>
  <c r="BH130" i="9"/>
  <c r="BH131" i="9"/>
  <c r="BH132" i="9"/>
  <c r="BH133" i="9"/>
  <c r="BH134" i="9"/>
  <c r="BH135" i="9"/>
  <c r="BH136" i="9"/>
  <c r="BH137" i="9"/>
  <c r="BH138" i="9"/>
  <c r="BH139" i="9"/>
  <c r="BH140" i="9"/>
  <c r="BH141" i="9"/>
  <c r="BH142" i="9"/>
  <c r="BH143" i="9"/>
  <c r="BH144" i="9"/>
  <c r="BH145" i="9"/>
  <c r="BH146" i="9"/>
  <c r="BH147" i="9"/>
  <c r="BH148" i="9"/>
  <c r="BH149" i="9"/>
  <c r="BH150" i="9"/>
  <c r="BH151" i="9"/>
  <c r="BH152" i="9"/>
  <c r="BH153" i="9"/>
  <c r="BH154" i="9"/>
  <c r="BH155" i="9"/>
  <c r="BH156" i="9"/>
  <c r="BH157" i="9"/>
  <c r="BH158" i="9"/>
  <c r="BH159" i="9"/>
  <c r="BH160" i="9"/>
  <c r="BH161" i="9"/>
  <c r="BH162" i="9"/>
  <c r="BH163" i="9"/>
  <c r="BH164" i="9"/>
  <c r="BH165" i="9"/>
  <c r="BH166" i="9"/>
  <c r="BH167" i="9"/>
  <c r="BH168" i="9"/>
  <c r="BH169" i="9"/>
  <c r="BH170" i="9"/>
  <c r="BH171" i="9"/>
  <c r="BH172" i="9"/>
  <c r="BH173" i="9"/>
  <c r="BH174" i="9"/>
  <c r="BH175" i="9"/>
  <c r="BH176" i="9"/>
  <c r="BH177" i="9"/>
  <c r="BH178" i="9"/>
  <c r="BH179" i="9"/>
  <c r="BH180" i="9"/>
  <c r="BH181" i="9"/>
  <c r="BH182" i="9"/>
  <c r="BH183" i="9"/>
  <c r="BH184" i="9"/>
  <c r="BH185" i="9"/>
  <c r="BH186" i="9"/>
  <c r="BH187" i="9"/>
  <c r="BH188" i="9"/>
  <c r="BH189" i="9"/>
  <c r="BH190" i="9"/>
  <c r="BH191" i="9"/>
  <c r="BH192" i="9"/>
  <c r="BH193" i="9"/>
  <c r="BH194" i="9"/>
  <c r="BH195" i="9"/>
  <c r="BH196" i="9"/>
  <c r="BH197" i="9"/>
  <c r="BH198" i="9"/>
  <c r="BH199" i="9"/>
  <c r="BH200" i="9"/>
  <c r="BH201" i="9"/>
  <c r="BH202" i="9"/>
  <c r="BH203" i="9"/>
  <c r="BH204" i="9"/>
  <c r="BH205" i="9"/>
  <c r="BH206" i="9"/>
  <c r="BH207" i="9"/>
  <c r="BH208" i="9"/>
  <c r="BH209" i="9"/>
  <c r="BH210" i="9"/>
  <c r="BH211" i="9"/>
  <c r="BH212" i="9"/>
  <c r="BH213" i="9"/>
  <c r="BH214" i="9"/>
  <c r="BH215" i="9"/>
  <c r="BH216" i="9"/>
  <c r="BH217" i="9"/>
  <c r="BH218" i="9"/>
  <c r="BH219" i="9"/>
  <c r="BH220" i="9"/>
  <c r="BH221" i="9"/>
  <c r="BH222" i="9"/>
  <c r="BH223" i="9"/>
  <c r="BH224" i="9"/>
  <c r="BH225" i="9"/>
  <c r="BH226" i="9"/>
  <c r="BH227" i="9"/>
  <c r="BH228" i="9"/>
  <c r="BH229" i="9"/>
  <c r="BH230" i="9"/>
  <c r="BH231" i="9"/>
  <c r="BH232" i="9"/>
  <c r="BH233" i="9"/>
  <c r="BH234" i="9"/>
  <c r="BH235" i="9"/>
  <c r="BH236" i="9"/>
  <c r="BH237" i="9"/>
  <c r="BH238" i="9"/>
  <c r="BH239" i="9"/>
  <c r="BH240" i="9"/>
  <c r="BH241" i="9"/>
  <c r="BH242" i="9"/>
  <c r="BH243" i="9"/>
  <c r="BH244" i="9"/>
  <c r="BH245" i="9"/>
  <c r="BH246" i="9"/>
  <c r="BH247" i="9"/>
  <c r="BH248" i="9"/>
  <c r="BH249" i="9"/>
  <c r="BH250" i="9"/>
  <c r="BH251" i="9"/>
  <c r="BH252" i="9"/>
  <c r="BH253" i="9"/>
  <c r="BH254" i="9"/>
  <c r="BH255" i="9"/>
  <c r="BH256" i="9"/>
  <c r="BH257" i="9"/>
  <c r="BH258" i="9"/>
  <c r="BH259" i="9"/>
  <c r="BH260" i="9"/>
  <c r="BH261" i="9"/>
  <c r="BH262" i="9"/>
  <c r="BH263" i="9"/>
  <c r="BH264" i="9"/>
  <c r="BH265" i="9"/>
  <c r="BH266" i="9"/>
  <c r="BH267" i="9"/>
  <c r="BH268" i="9"/>
  <c r="BH269" i="9"/>
  <c r="BH270" i="9"/>
  <c r="BH271" i="9"/>
  <c r="BH272" i="9"/>
  <c r="BH273" i="9"/>
  <c r="BH274" i="9"/>
  <c r="BH275" i="9"/>
  <c r="BH276" i="9"/>
  <c r="BH277" i="9"/>
  <c r="BH278" i="9"/>
  <c r="BH279" i="9"/>
  <c r="BH280" i="9"/>
  <c r="BH281" i="9"/>
  <c r="BH282" i="9"/>
  <c r="BH283" i="9"/>
  <c r="BH284" i="9"/>
  <c r="BH285" i="9"/>
  <c r="BH286" i="9"/>
  <c r="BH287" i="9"/>
  <c r="BH288" i="9"/>
  <c r="BH289" i="9"/>
  <c r="BH290" i="9"/>
  <c r="BH291" i="9"/>
  <c r="BH292" i="9"/>
  <c r="BH293" i="9"/>
  <c r="BH294" i="9"/>
  <c r="BH295" i="9"/>
  <c r="BH296" i="9"/>
  <c r="BH297" i="9"/>
  <c r="BH298" i="9"/>
  <c r="BH299" i="9"/>
  <c r="BH300" i="9"/>
  <c r="BH301" i="9"/>
  <c r="BH302" i="9"/>
  <c r="BH303" i="9"/>
  <c r="BH304" i="9"/>
  <c r="BH305" i="9"/>
  <c r="BH306" i="9"/>
  <c r="BH307" i="9"/>
  <c r="BH308" i="9"/>
  <c r="BH309" i="9"/>
  <c r="BH310" i="9"/>
  <c r="BH311" i="9"/>
  <c r="BH312" i="9"/>
  <c r="BH313" i="9"/>
  <c r="BH314" i="9"/>
  <c r="BH315" i="9"/>
  <c r="BH316" i="9"/>
  <c r="BH317" i="9"/>
  <c r="BH318" i="9"/>
  <c r="BH319" i="9"/>
  <c r="BH320" i="9"/>
  <c r="BH321" i="9"/>
  <c r="BH322" i="9"/>
  <c r="BH323" i="9"/>
  <c r="BH324" i="9"/>
  <c r="BH325" i="9"/>
  <c r="BH326" i="9"/>
  <c r="BH327" i="9"/>
  <c r="BH328" i="9"/>
  <c r="BH329" i="9"/>
  <c r="BH330" i="9"/>
  <c r="BH331" i="9"/>
  <c r="BH332" i="9"/>
  <c r="BH333" i="9"/>
  <c r="BH334" i="9"/>
  <c r="BH335" i="9"/>
  <c r="BH336" i="9"/>
  <c r="BH337" i="9"/>
  <c r="BH338" i="9"/>
  <c r="BH339" i="9"/>
  <c r="BH340" i="9"/>
  <c r="BH341" i="9"/>
  <c r="BH342" i="9"/>
  <c r="BH343" i="9"/>
  <c r="BH344" i="9"/>
  <c r="BH345" i="9"/>
  <c r="BH346" i="9"/>
  <c r="BH347" i="9"/>
  <c r="BH348" i="9"/>
  <c r="BH349" i="9"/>
  <c r="BH350" i="9"/>
  <c r="BH351" i="9"/>
  <c r="BH352" i="9"/>
  <c r="BH353" i="9"/>
  <c r="BH354" i="9"/>
  <c r="BH355" i="9"/>
  <c r="BH356" i="9"/>
  <c r="BH357" i="9"/>
  <c r="BH358" i="9"/>
  <c r="BH359" i="9"/>
  <c r="BH360" i="9"/>
  <c r="BH361" i="9"/>
  <c r="BH362" i="9"/>
  <c r="BH363" i="9"/>
  <c r="BH364" i="9"/>
  <c r="BH365" i="9"/>
  <c r="BH366" i="9"/>
  <c r="BH367" i="9"/>
  <c r="BH368" i="9"/>
  <c r="BH369" i="9"/>
  <c r="BH370" i="9"/>
  <c r="BH371" i="9"/>
  <c r="BH372" i="9"/>
  <c r="BH373" i="9"/>
  <c r="BH374" i="9"/>
  <c r="BH375" i="9"/>
  <c r="BH376" i="9"/>
  <c r="BH377" i="9"/>
  <c r="BH378" i="9"/>
  <c r="BH379" i="9"/>
  <c r="BH380" i="9"/>
  <c r="BH381" i="9"/>
  <c r="BH382" i="9"/>
  <c r="BH383" i="9"/>
  <c r="BH384" i="9"/>
  <c r="BH385" i="9"/>
  <c r="BH386" i="9"/>
  <c r="BH387" i="9"/>
  <c r="BH388" i="9"/>
  <c r="BH389" i="9"/>
  <c r="BH390" i="9"/>
  <c r="BH391" i="9"/>
  <c r="BH392" i="9"/>
  <c r="BH393" i="9"/>
  <c r="BH394" i="9"/>
  <c r="BH395" i="9"/>
  <c r="BH396" i="9"/>
  <c r="BH397" i="9"/>
  <c r="BH398" i="9"/>
  <c r="BH399" i="9"/>
  <c r="BH400" i="9"/>
  <c r="BH401" i="9"/>
  <c r="BH402" i="9"/>
  <c r="BH403" i="9"/>
  <c r="BH404" i="9"/>
  <c r="BH405" i="9"/>
  <c r="BH406" i="9"/>
  <c r="BH407" i="9"/>
  <c r="BH408" i="9"/>
  <c r="BH409" i="9"/>
  <c r="BH410" i="9"/>
  <c r="BH411" i="9"/>
  <c r="BH412" i="9"/>
  <c r="BH413" i="9"/>
  <c r="BH414" i="9"/>
  <c r="BH415" i="9"/>
  <c r="BH416" i="9"/>
  <c r="BH417" i="9"/>
  <c r="BH418" i="9"/>
  <c r="BH419" i="9"/>
  <c r="BH420" i="9"/>
  <c r="BH421" i="9"/>
  <c r="BH422" i="9"/>
  <c r="BH423" i="9"/>
  <c r="BH424" i="9"/>
  <c r="BH425" i="9"/>
  <c r="BH426" i="9"/>
  <c r="BH427" i="9"/>
  <c r="BH428" i="9"/>
  <c r="BH429" i="9"/>
  <c r="BH430" i="9"/>
  <c r="BH431" i="9"/>
  <c r="BH432" i="9"/>
  <c r="BH433" i="9"/>
  <c r="BH434" i="9"/>
  <c r="BH435" i="9"/>
  <c r="BH436" i="9"/>
  <c r="BH437" i="9"/>
  <c r="BH438" i="9"/>
  <c r="BH439" i="9"/>
  <c r="BH440" i="9"/>
  <c r="BH441" i="9"/>
  <c r="BH442" i="9"/>
  <c r="BH443" i="9"/>
  <c r="BH444" i="9"/>
  <c r="BH445" i="9"/>
  <c r="BH446" i="9"/>
  <c r="BH447" i="9"/>
  <c r="BH448" i="9"/>
  <c r="BH449" i="9"/>
  <c r="BH450" i="9"/>
  <c r="BH451" i="9"/>
  <c r="BH452" i="9"/>
  <c r="BH453" i="9"/>
  <c r="BH454" i="9"/>
  <c r="BH455" i="9"/>
  <c r="BH456" i="9"/>
  <c r="BH457" i="9"/>
  <c r="BH458" i="9"/>
  <c r="BH459" i="9"/>
  <c r="BH460" i="9"/>
  <c r="BH461" i="9"/>
  <c r="BH462" i="9"/>
  <c r="BH463" i="9"/>
  <c r="BH464" i="9"/>
  <c r="BH465" i="9"/>
  <c r="BH466" i="9"/>
  <c r="BH467" i="9"/>
  <c r="BH468" i="9"/>
  <c r="BH469" i="9"/>
  <c r="BH470" i="9"/>
  <c r="BH471" i="9"/>
  <c r="BH472" i="9"/>
  <c r="BH473" i="9"/>
  <c r="BH474" i="9"/>
  <c r="BH475" i="9"/>
  <c r="BH476" i="9"/>
  <c r="BH477" i="9"/>
  <c r="BH478" i="9"/>
  <c r="BH479" i="9"/>
  <c r="BH480" i="9"/>
  <c r="BH481" i="9"/>
  <c r="BH482" i="9"/>
  <c r="BH483" i="9"/>
  <c r="BH484" i="9"/>
  <c r="BH485" i="9"/>
  <c r="BH486" i="9"/>
  <c r="BH487" i="9"/>
  <c r="BH488" i="9"/>
  <c r="BH489" i="9"/>
  <c r="BH490" i="9"/>
  <c r="BH491" i="9"/>
  <c r="BH13" i="9"/>
  <c r="AA27" i="9"/>
  <c r="U7" i="9"/>
  <c r="AA26" i="9"/>
  <c r="AB11" i="9"/>
  <c r="AA25" i="9"/>
  <c r="AA24" i="9"/>
  <c r="AA23" i="9"/>
  <c r="AA22" i="9"/>
  <c r="AA21" i="9"/>
  <c r="AA20" i="9"/>
  <c r="AA19" i="9"/>
  <c r="AA18" i="9"/>
  <c r="AA17" i="9"/>
  <c r="AA16" i="9"/>
  <c r="AA15" i="9"/>
  <c r="AA14" i="9"/>
  <c r="AA13" i="9"/>
  <c r="AB12" i="9" l="1"/>
  <c r="AB13" i="9" s="1"/>
  <c r="AB14" i="9" s="1"/>
  <c r="AB15" i="9" s="1"/>
  <c r="AB16" i="9" s="1"/>
  <c r="AB17" i="9" s="1"/>
  <c r="AB18" i="9" s="1"/>
  <c r="AB19" i="9" s="1"/>
  <c r="AB20" i="9" s="1"/>
  <c r="AB21" i="9" s="1"/>
  <c r="AB22" i="9" s="1"/>
  <c r="AB23" i="9" s="1"/>
  <c r="AB24" i="9" s="1"/>
  <c r="AB25" i="9" s="1"/>
  <c r="AB26" i="9" s="1"/>
  <c r="AB27" i="9" s="1"/>
  <c r="T7" i="9"/>
  <c r="Q7" i="9"/>
  <c r="P7" i="9"/>
  <c r="M7" i="9"/>
  <c r="K7" i="9"/>
  <c r="J7" i="9"/>
  <c r="I7" i="9"/>
  <c r="F7" i="9"/>
  <c r="E7" i="9"/>
  <c r="S7" i="9" l="1"/>
  <c r="R7" i="9"/>
  <c r="C7" i="9"/>
  <c r="O7" i="9" s="1"/>
  <c r="G7" i="9"/>
  <c r="W7" i="9"/>
  <c r="L7" i="9"/>
  <c r="V7" i="9"/>
  <c r="N7" i="9" l="1"/>
  <c r="H7" i="9"/>
  <c r="D7" i="9"/>
</calcChain>
</file>

<file path=xl/sharedStrings.xml><?xml version="1.0" encoding="utf-8"?>
<sst xmlns="http://schemas.openxmlformats.org/spreadsheetml/2006/main" count="996" uniqueCount="145">
  <si>
    <t>TRADING JOURNAL</t>
  </si>
  <si>
    <t>CAPITAL</t>
  </si>
  <si>
    <t>END BALANCE</t>
  </si>
  <si>
    <t>TOTAL GAINS</t>
  </si>
  <si>
    <t>TOTAL LOSS</t>
  </si>
  <si>
    <t>OVERALL</t>
  </si>
  <si>
    <t>OVERALL %</t>
  </si>
  <si>
    <t>TOTAL TRADES</t>
  </si>
  <si>
    <t>TOTAL WINS</t>
  </si>
  <si>
    <t>TOTAL LOSSES</t>
  </si>
  <si>
    <t>WINNING %</t>
  </si>
  <si>
    <t>AVERAGE PROFIT</t>
  </si>
  <si>
    <t>AVERAGE RISK</t>
  </si>
  <si>
    <t>MAXIMUM PROFIT</t>
  </si>
  <si>
    <t>MAXIMUM LOSS</t>
  </si>
  <si>
    <t>AVERAGE LOSS</t>
  </si>
  <si>
    <t>WINNING STREAK</t>
  </si>
  <si>
    <t xml:space="preserve"> LOSSING STREAK</t>
  </si>
  <si>
    <t>BASIC INFORMATION</t>
  </si>
  <si>
    <t>TRADE INFORMATION</t>
  </si>
  <si>
    <t>ACCOUNT INFORMATION</t>
  </si>
  <si>
    <t>NO</t>
  </si>
  <si>
    <t>DATE</t>
  </si>
  <si>
    <t>DAY</t>
  </si>
  <si>
    <t>STOCK NAME</t>
  </si>
  <si>
    <t>ENTRY PRICE</t>
  </si>
  <si>
    <t>EXIT PRICE</t>
  </si>
  <si>
    <t>ENTRY TIMING</t>
  </si>
  <si>
    <t>EXIT TIMING</t>
  </si>
  <si>
    <t>LONG / SHORT</t>
  </si>
  <si>
    <t>STRATEGY NAME</t>
  </si>
  <si>
    <t>RISK</t>
  </si>
  <si>
    <t>QUANTITY</t>
  </si>
  <si>
    <t>WIN / LOSS</t>
  </si>
  <si>
    <t>TARGET / STOPLOSS</t>
  </si>
  <si>
    <t>PROFIT / LOSS</t>
  </si>
  <si>
    <t>RISK : REWARD</t>
  </si>
  <si>
    <t>CHART HYPERLINK</t>
  </si>
  <si>
    <t>REMARKS</t>
  </si>
  <si>
    <t>DAILY PNL</t>
  </si>
  <si>
    <t>USE ONLY 24 HOUR FORMAT</t>
  </si>
  <si>
    <t>USE ONLY  2%</t>
  </si>
  <si>
    <t>$G$3</t>
  </si>
  <si>
    <t>W</t>
  </si>
  <si>
    <t>$P$9:$P$1048576</t>
  </si>
  <si>
    <t>PROFIT FACTOR</t>
  </si>
  <si>
    <t>LEARNING</t>
  </si>
  <si>
    <t>MIN 1:3</t>
  </si>
  <si>
    <t>MONDAY</t>
  </si>
  <si>
    <t>TATA MOTORS</t>
  </si>
  <si>
    <t>SHORT</t>
  </si>
  <si>
    <t>L</t>
  </si>
  <si>
    <t>STOPLOSS</t>
  </si>
  <si>
    <t>TRAILING STOPLOSS</t>
  </si>
  <si>
    <t>TUESDAY</t>
  </si>
  <si>
    <t>WEDNESDAY</t>
  </si>
  <si>
    <t>BREAKEVEN</t>
  </si>
  <si>
    <t>THURSDAY</t>
  </si>
  <si>
    <t>TARGET</t>
  </si>
  <si>
    <t>FRIDAY</t>
  </si>
  <si>
    <t>BIG PROFIT</t>
  </si>
  <si>
    <t>WEEKLY REPORT</t>
  </si>
  <si>
    <t>AVERAGE WIN TIMING</t>
  </si>
  <si>
    <t>v</t>
  </si>
  <si>
    <t>Sum of CAPITAL</t>
  </si>
  <si>
    <t>Row Labels</t>
  </si>
  <si>
    <t>Grand Total</t>
  </si>
  <si>
    <t>Sum of END BALANCE</t>
  </si>
  <si>
    <t>Sum of OVERALL</t>
  </si>
  <si>
    <t>Sum of OVERALL %</t>
  </si>
  <si>
    <t>DAY WISE SUMMARY TABLE</t>
  </si>
  <si>
    <t>Sum of DAILY PNL</t>
  </si>
  <si>
    <t>Count of NO</t>
  </si>
  <si>
    <t>LOSS</t>
  </si>
  <si>
    <t>GAINS</t>
  </si>
  <si>
    <t>Column Labels</t>
  </si>
  <si>
    <t>Sum of PROFIT / LOSS</t>
  </si>
  <si>
    <t>Average of RISK : REWARD</t>
  </si>
  <si>
    <t>DAYS WISE</t>
  </si>
  <si>
    <t>DIRECTION WISE</t>
  </si>
  <si>
    <t>STRATEGY WISE</t>
  </si>
  <si>
    <t xml:space="preserve">DISCIPLINE </t>
  </si>
  <si>
    <t>MONEY MANAGEMENT</t>
  </si>
  <si>
    <t>ALWAYS DIVIDE YOUR CAPITAL IN PERSPECTIVE OF 50 TRADES</t>
  </si>
  <si>
    <t>RISK : REWARD RATIO</t>
  </si>
  <si>
    <t>ALWAYS CALCULATE TRADE IN RISK : REWARD RATIO AND ALWAYS TRY TO CAPTUE BIG REWARD</t>
  </si>
  <si>
    <t>SETUP</t>
  </si>
  <si>
    <t>USE A SIMPLE SETUP AND TRADE IT ATLEAST 100 TIMES TO FIND ITS PRO AND CONS</t>
  </si>
  <si>
    <t>SOME IMPORTANT THINGS WE SHOULD ALWAYS REMEMBER</t>
  </si>
  <si>
    <t>ALWAYS CALCULATE YOUR MAXIMUM LOSS, MAXIMUM TRADE PER DAY, QUANTITY SIZE, RISK : REWARD RATIO</t>
  </si>
  <si>
    <t>D = DISCIPLINE (50%)</t>
  </si>
  <si>
    <t>M = MONEY MANAGEMENT (30%)</t>
  </si>
  <si>
    <t>R = RISK : REWARD RATIO (15%)</t>
  </si>
  <si>
    <t>S = SETUP (5%)</t>
  </si>
  <si>
    <t>WE HAVE TO ONLY CONTROL OUR SELF AND MARKET WILL REWARD US FOR THIS</t>
  </si>
  <si>
    <t>ALWAYS THINK TRADING AS A BUSINESS. SO DON'T INFLUENCE BY PROFIT AND LOSS</t>
  </si>
  <si>
    <t>WRONG POSITION SIZE (QT SIZE) WILL DESTROY US</t>
  </si>
  <si>
    <t>ALWAYS FOCUS ON PROCESS, PROFIT WILL DEFINETLY COME TO OUR ACCOUNT</t>
  </si>
  <si>
    <t>DRAWDOWN CALCULATION APPROACH</t>
  </si>
  <si>
    <t>IN SIMPLE TERM ( ALWAYS ADD 10-15 % MORE IN BACK DATA SO THAT IT WILL NOT IMPACT OUR MINDSET)</t>
  </si>
  <si>
    <t>QUANTITY SIZE CALCULATION APPROACH</t>
  </si>
  <si>
    <t>TRADING IS ALL ABOUT DMRS</t>
  </si>
  <si>
    <t>PRO TIP:  WE HAVE TO BE MORE SPECIFIC WITH OUR RULES BECAUSE IT WILL INCREASE OUR PROBABILITY IN TRADING.</t>
  </si>
  <si>
    <r>
      <rPr>
        <b/>
        <sz val="20"/>
        <color theme="1"/>
        <rFont val="Aptos Narrow"/>
        <family val="2"/>
        <scheme val="minor"/>
      </rPr>
      <t>PRO TIP:</t>
    </r>
    <r>
      <rPr>
        <sz val="20"/>
        <color theme="1"/>
        <rFont val="Aptos Narrow"/>
        <family val="2"/>
        <scheme val="minor"/>
      </rPr>
      <t xml:space="preserve"> ALWAYS BE SUPER CONSERVATIVE WHEN TO RISKING CAPTIAL AND UTILIZE YOUR PROFIT PROPERLY</t>
    </r>
  </si>
  <si>
    <t>MONEY MANAGEMENT PROCESS:</t>
  </si>
  <si>
    <t>LESS ASSUME OUR SYSTEM WILL GIVE US 25 % DRAWDOWN, SO IN NEXT DRAWDOWN PHASE WE WILL ASSUME THAT IT WILL BE 35% - 40%</t>
  </si>
  <si>
    <t>WHEN SHOULD WE INCREASE OUR QUANTITY SIZE ?</t>
  </si>
  <si>
    <t>IN TERM OF MINDSET ( WHEN WE HAVE CONFIDENCE IN OUR SYSTEM AND WITH GOOD PAST EXPERIENCE)</t>
  </si>
  <si>
    <t>IN TERM OF PRACTICAL APPROACH  (INCREASE AFTER LOSSING PHASE)</t>
  </si>
  <si>
    <t>REWARD BY MARKET</t>
  </si>
  <si>
    <t>Sum of TOTAL TRADES</t>
  </si>
  <si>
    <t>Sum of TOTAL WINS</t>
  </si>
  <si>
    <t>Sum of TOTAL LOSSES</t>
  </si>
  <si>
    <t>Sum of PROFIT FACTOR</t>
  </si>
  <si>
    <t>Sum of AVERAGE PROFIT2</t>
  </si>
  <si>
    <t>Sum of AVERAGE LOSS</t>
  </si>
  <si>
    <t>Sum of AVERAGE WIN TIMING</t>
  </si>
  <si>
    <t>AVG MARKET REWARD</t>
  </si>
  <si>
    <t>TIME</t>
  </si>
  <si>
    <t>MONTH</t>
  </si>
  <si>
    <t>Sum of AVG MARKET REWARD</t>
  </si>
  <si>
    <t>FORMULAS</t>
  </si>
  <si>
    <t xml:space="preserve">CELL NAME =  FORMULAS </t>
  </si>
  <si>
    <t>Q12 = IF(N12="W", P12/L12, -ABS(P12/L12))</t>
  </si>
  <si>
    <t>R12 =IF(N12="L",R11+P12,IF(N12 ="w",R11+P12))</t>
  </si>
  <si>
    <t>AA12  =SUMIFS($P$13:$P$1048576, $C$13:$C$1048576, Z12, $N$13:$N$1048576, "W") - SUMIFS($P$13:$P$1048576, $C$13:$C$1048576, Z12, $N$13:$N$1048576, "L")</t>
  </si>
  <si>
    <t>AB12  =AB11+AA12</t>
  </si>
  <si>
    <t>AC12 =TEXT(Z12,"mmm yyyy")</t>
  </si>
  <si>
    <t>Breakout</t>
  </si>
  <si>
    <t>RELIANCE</t>
  </si>
  <si>
    <t>LONG</t>
  </si>
  <si>
    <t>HDFC BANK</t>
  </si>
  <si>
    <t>Reversal</t>
  </si>
  <si>
    <t>INFY</t>
  </si>
  <si>
    <t>TCS</t>
  </si>
  <si>
    <t>Smart Money</t>
  </si>
  <si>
    <t>SBI</t>
  </si>
  <si>
    <t>MARUTI</t>
  </si>
  <si>
    <t>BIG LOSS</t>
  </si>
  <si>
    <t>HDFC</t>
  </si>
  <si>
    <t>Wipro</t>
  </si>
  <si>
    <t>Infosys</t>
  </si>
  <si>
    <t>1 ALWAYS DIVIDE YOUR CAPITAL INTO 50 TRADES</t>
  </si>
  <si>
    <t>2 ALWAYS USE STOPLOSS</t>
  </si>
  <si>
    <t>3 ALWAYS TRADE IN THE FAVOUR OF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</si>
</sst>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4009]d\ mmmm\ yyyy;@"/>
    <numFmt numFmtId="165" formatCode="[$-F400]h:mm:ss\ AM/PM"/>
    <numFmt numFmtId="166" formatCode="_ [$₹-4009]\ * #,##0.00_ ;_ [$₹-4009]\ * \-#,##0.00_ ;_ [$₹-4009]\ * &quot;-&quot;??_ ;_ @_ "/>
    <numFmt numFmtId="167" formatCode="&quot;₹&quot;\ #,##0.00"/>
    <numFmt numFmtId="168" formatCode="[$-F800]dddd\,\ mmmm\ dd\,\ yyyy"/>
    <numFmt numFmtId="169" formatCode="[$-14009]h:mm;@"/>
    <numFmt numFmtId="170" formatCode="&quot;₹&quot;\ #,##0"/>
  </numFmts>
  <fonts count="25" x14ac:knownFonts="1">
    <font>
      <sz val="11"/>
      <color theme="1"/>
      <name val="Aptos Narrow"/>
      <family val="2"/>
      <scheme val="minor"/>
    </font>
    <font>
      <b/>
      <sz val="11"/>
      <color theme="1"/>
      <name val="Aptos Narrow"/>
      <family val="2"/>
      <scheme val="minor"/>
    </font>
    <font>
      <sz val="11"/>
      <color theme="0"/>
      <name val="Aptos Narrow"/>
      <family val="2"/>
      <scheme val="minor"/>
    </font>
    <font>
      <b/>
      <u/>
      <sz val="72"/>
      <color theme="2"/>
      <name val="Baskerville Old Face"/>
      <family val="1"/>
    </font>
    <font>
      <b/>
      <u/>
      <sz val="20"/>
      <color theme="0"/>
      <name val="Aptos Narrow"/>
      <family val="2"/>
      <scheme val="minor"/>
    </font>
    <font>
      <b/>
      <sz val="24"/>
      <color theme="1"/>
      <name val="Aptos Narrow"/>
      <family val="2"/>
      <scheme val="minor"/>
    </font>
    <font>
      <b/>
      <sz val="20"/>
      <color theme="0"/>
      <name val="Aptos Narrow"/>
      <family val="2"/>
      <scheme val="minor"/>
    </font>
    <font>
      <b/>
      <sz val="18"/>
      <color theme="0"/>
      <name val="Aptos Narrow"/>
      <family val="2"/>
      <scheme val="minor"/>
    </font>
    <font>
      <sz val="14"/>
      <color theme="1"/>
      <name val="Aptos Narrow"/>
      <family val="2"/>
      <scheme val="minor"/>
    </font>
    <font>
      <b/>
      <sz val="14"/>
      <color theme="1"/>
      <name val="Aptos Narrow"/>
      <family val="2"/>
      <scheme val="minor"/>
    </font>
    <font>
      <b/>
      <u/>
      <sz val="14"/>
      <color theme="1"/>
      <name val="Aptos Narrow"/>
      <family val="2"/>
      <scheme val="minor"/>
    </font>
    <font>
      <u/>
      <sz val="11"/>
      <color theme="10"/>
      <name val="Aptos Narrow"/>
      <family val="2"/>
      <scheme val="minor"/>
    </font>
    <font>
      <sz val="11"/>
      <color theme="2" tint="-9.9978637043366805E-2"/>
      <name val="Aptos Narrow"/>
      <family val="2"/>
      <scheme val="minor"/>
    </font>
    <font>
      <sz val="11"/>
      <color theme="1"/>
      <name val="Aptos Narrow"/>
      <family val="2"/>
      <scheme val="minor"/>
    </font>
    <font>
      <sz val="11"/>
      <color theme="0" tint="-0.14999847407452621"/>
      <name val="Aptos Narrow"/>
      <family val="2"/>
      <scheme val="minor"/>
    </font>
    <font>
      <sz val="20"/>
      <color theme="1"/>
      <name val="Aptos Narrow"/>
      <family val="2"/>
      <scheme val="minor"/>
    </font>
    <font>
      <b/>
      <sz val="28"/>
      <color theme="1"/>
      <name val="Aptos Narrow"/>
      <family val="2"/>
      <scheme val="minor"/>
    </font>
    <font>
      <sz val="26"/>
      <color theme="1"/>
      <name val="Aptos Narrow"/>
      <family val="2"/>
      <scheme val="minor"/>
    </font>
    <font>
      <b/>
      <u/>
      <sz val="22"/>
      <color theme="1"/>
      <name val="Aptos Narrow"/>
      <family val="2"/>
      <scheme val="minor"/>
    </font>
    <font>
      <b/>
      <sz val="20"/>
      <color theme="1"/>
      <name val="Aptos Narrow"/>
      <family val="2"/>
      <scheme val="minor"/>
    </font>
    <font>
      <b/>
      <u/>
      <sz val="26"/>
      <color theme="1"/>
      <name val="Aptos Narrow"/>
      <family val="2"/>
      <scheme val="minor"/>
    </font>
    <font>
      <b/>
      <u/>
      <sz val="20"/>
      <color theme="1"/>
      <name val="Aptos Narrow"/>
      <family val="2"/>
      <scheme val="minor"/>
    </font>
    <font>
      <b/>
      <u/>
      <sz val="24"/>
      <color theme="1"/>
      <name val="Aptos Narrow"/>
      <family val="2"/>
      <scheme val="minor"/>
    </font>
    <font>
      <sz val="11"/>
      <color theme="0" tint="-0.34998626667073579"/>
      <name val="Aptos Narrow"/>
      <family val="2"/>
      <scheme val="minor"/>
    </font>
    <font>
      <sz val="9"/>
      <color theme="1"/>
      <name val="Aptos Narrow"/>
      <family val="2"/>
      <scheme val="minor"/>
    </font>
  </fonts>
  <fills count="10">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3" tint="0.249977111117893"/>
        <bgColor theme="4"/>
      </patternFill>
    </fill>
    <fill>
      <patternFill patternType="solid">
        <fgColor theme="4" tint="-0.249977111117893"/>
        <bgColor theme="4"/>
      </patternFill>
    </fill>
    <fill>
      <patternFill patternType="solid">
        <fgColor rgb="FFF2F0F5"/>
        <bgColor indexed="64"/>
      </patternFill>
    </fill>
    <fill>
      <patternFill patternType="solid">
        <fgColor theme="0" tint="-4.9989318521683403E-2"/>
        <bgColor indexed="64"/>
      </patternFill>
    </fill>
  </fills>
  <borders count="22">
    <border>
      <left/>
      <right/>
      <top/>
      <bottom/>
      <diagonal/>
    </border>
    <border>
      <left style="thin">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1" fillId="0" borderId="0" applyNumberFormat="0" applyFill="0" applyBorder="0" applyAlignment="0" applyProtection="0"/>
  </cellStyleXfs>
  <cellXfs count="149">
    <xf numFmtId="0" fontId="0" fillId="0" borderId="0" xfId="0"/>
    <xf numFmtId="0" fontId="0" fillId="8" borderId="0" xfId="0" applyFill="1"/>
    <xf numFmtId="0" fontId="0" fillId="2" borderId="0" xfId="0" applyFill="1"/>
    <xf numFmtId="0" fontId="2" fillId="8" borderId="0" xfId="0" applyFont="1" applyFill="1"/>
    <xf numFmtId="0" fontId="0" fillId="0" borderId="0" xfId="0" applyNumberFormat="1"/>
    <xf numFmtId="0" fontId="0" fillId="0" borderId="0" xfId="0" pivotButton="1"/>
    <xf numFmtId="167" fontId="0" fillId="0" borderId="0" xfId="0" applyNumberFormat="1"/>
    <xf numFmtId="0" fontId="0" fillId="8" borderId="0" xfId="0" applyFill="1" applyBorder="1"/>
    <xf numFmtId="10" fontId="0" fillId="0" borderId="0" xfId="0" applyNumberFormat="1"/>
    <xf numFmtId="166" fontId="0" fillId="0" borderId="0" xfId="0" applyNumberFormat="1"/>
    <xf numFmtId="14" fontId="0" fillId="0" borderId="0" xfId="0" applyNumberFormat="1" applyAlignment="1">
      <alignment horizontal="left"/>
    </xf>
    <xf numFmtId="0" fontId="0" fillId="0" borderId="0" xfId="0" applyAlignment="1">
      <alignment horizontal="left"/>
    </xf>
    <xf numFmtId="2" fontId="0" fillId="0" borderId="0" xfId="0" applyNumberFormat="1"/>
    <xf numFmtId="0" fontId="1" fillId="0" borderId="0" xfId="0" applyFont="1" applyAlignment="1">
      <alignment horizontal="center"/>
    </xf>
    <xf numFmtId="0" fontId="15" fillId="8" borderId="0" xfId="0" applyFont="1" applyFill="1" applyAlignment="1">
      <alignment horizontal="left"/>
    </xf>
    <xf numFmtId="0" fontId="0" fillId="2" borderId="0" xfId="0" applyFill="1" applyBorder="1"/>
    <xf numFmtId="0" fontId="15" fillId="8" borderId="0" xfId="0" applyFont="1" applyFill="1" applyAlignment="1">
      <alignment horizontal="left"/>
    </xf>
    <xf numFmtId="0" fontId="15" fillId="8" borderId="0" xfId="0" applyFont="1" applyFill="1" applyBorder="1" applyAlignment="1">
      <alignment horizontal="left"/>
    </xf>
    <xf numFmtId="0" fontId="21" fillId="8" borderId="0" xfId="0" applyFont="1" applyFill="1" applyBorder="1" applyAlignment="1">
      <alignment horizontal="center"/>
    </xf>
    <xf numFmtId="0" fontId="21" fillId="8" borderId="0" xfId="0" applyFont="1" applyFill="1" applyBorder="1" applyAlignment="1"/>
    <xf numFmtId="0" fontId="0" fillId="9" borderId="0" xfId="0" applyFill="1"/>
    <xf numFmtId="170" fontId="0" fillId="0" borderId="0" xfId="0" applyNumberFormat="1"/>
    <xf numFmtId="169" fontId="0" fillId="0" borderId="0" xfId="0" applyNumberFormat="1"/>
    <xf numFmtId="0" fontId="0" fillId="8" borderId="0" xfId="0" applyFill="1" applyAlignment="1" applyProtection="1">
      <alignment horizontal="center"/>
    </xf>
    <xf numFmtId="164" fontId="0" fillId="8" borderId="0" xfId="0" applyNumberFormat="1" applyFill="1" applyAlignment="1" applyProtection="1">
      <alignment horizontal="center"/>
    </xf>
    <xf numFmtId="2" fontId="0" fillId="8" borderId="0" xfId="0" applyNumberFormat="1" applyFill="1" applyAlignment="1" applyProtection="1">
      <alignment horizontal="center"/>
    </xf>
    <xf numFmtId="165" fontId="0" fillId="8" borderId="0" xfId="0" applyNumberFormat="1" applyFill="1" applyAlignment="1" applyProtection="1">
      <alignment horizontal="center"/>
    </xf>
    <xf numFmtId="166" fontId="0" fillId="8" borderId="0" xfId="0" applyNumberFormat="1" applyFill="1" applyAlignment="1" applyProtection="1">
      <alignment horizontal="center"/>
    </xf>
    <xf numFmtId="0" fontId="0" fillId="8" borderId="0" xfId="0" applyFill="1" applyProtection="1"/>
    <xf numFmtId="0" fontId="0" fillId="8" borderId="0" xfId="0" applyFill="1" applyAlignment="1" applyProtection="1">
      <alignment horizontal="left"/>
    </xf>
    <xf numFmtId="20" fontId="0" fillId="8" borderId="0" xfId="0" applyNumberFormat="1" applyFill="1" applyProtection="1"/>
    <xf numFmtId="166" fontId="0" fillId="8" borderId="0" xfId="0" applyNumberFormat="1" applyFill="1" applyProtection="1"/>
    <xf numFmtId="0" fontId="4" fillId="3" borderId="1" xfId="0" applyFont="1" applyFill="1" applyBorder="1" applyAlignment="1" applyProtection="1">
      <alignment horizontal="center" vertical="center"/>
    </xf>
    <xf numFmtId="0" fontId="4" fillId="3" borderId="2" xfId="0" applyFont="1" applyFill="1" applyBorder="1" applyAlignment="1" applyProtection="1">
      <alignment horizontal="center" vertical="center"/>
    </xf>
    <xf numFmtId="0" fontId="4" fillId="3" borderId="3" xfId="0" applyFont="1" applyFill="1" applyBorder="1" applyAlignment="1" applyProtection="1">
      <alignment horizontal="center" vertical="center"/>
    </xf>
    <xf numFmtId="20" fontId="4" fillId="3" borderId="3" xfId="0" applyNumberFormat="1" applyFont="1" applyFill="1" applyBorder="1" applyAlignment="1" applyProtection="1">
      <alignment horizontal="center" vertical="center"/>
    </xf>
    <xf numFmtId="167" fontId="5" fillId="4" borderId="4" xfId="0" applyNumberFormat="1" applyFont="1" applyFill="1" applyBorder="1" applyAlignment="1" applyProtection="1">
      <alignment horizontal="center" vertical="center"/>
    </xf>
    <xf numFmtId="167" fontId="5" fillId="4" borderId="2" xfId="0" applyNumberFormat="1" applyFont="1" applyFill="1" applyBorder="1" applyAlignment="1" applyProtection="1">
      <alignment horizontal="center" vertical="center"/>
    </xf>
    <xf numFmtId="167" fontId="5" fillId="4" borderId="3" xfId="0" applyNumberFormat="1" applyFont="1" applyFill="1" applyBorder="1" applyAlignment="1" applyProtection="1">
      <alignment horizontal="center" vertical="center"/>
    </xf>
    <xf numFmtId="10" fontId="5" fillId="4" borderId="3" xfId="0" applyNumberFormat="1" applyFont="1" applyFill="1" applyBorder="1" applyAlignment="1" applyProtection="1">
      <alignment horizontal="center" vertical="center"/>
    </xf>
    <xf numFmtId="0" fontId="5" fillId="4" borderId="3" xfId="0" applyFont="1" applyFill="1" applyBorder="1" applyAlignment="1" applyProtection="1">
      <alignment horizontal="center" vertical="center"/>
    </xf>
    <xf numFmtId="2" fontId="5" fillId="4" borderId="3" xfId="0" applyNumberFormat="1" applyFont="1" applyFill="1" applyBorder="1" applyAlignment="1" applyProtection="1">
      <alignment horizontal="center" vertical="center"/>
    </xf>
    <xf numFmtId="169" fontId="5" fillId="4" borderId="3" xfId="0" applyNumberFormat="1" applyFont="1" applyFill="1" applyBorder="1" applyAlignment="1" applyProtection="1">
      <alignment horizontal="center" vertical="center"/>
    </xf>
    <xf numFmtId="0" fontId="7" fillId="6" borderId="3" xfId="0" applyFont="1" applyFill="1" applyBorder="1" applyAlignment="1" applyProtection="1">
      <alignment horizontal="center" vertical="center" wrapText="1"/>
    </xf>
    <xf numFmtId="20" fontId="7" fillId="6" borderId="3" xfId="0" applyNumberFormat="1" applyFont="1" applyFill="1" applyBorder="1" applyAlignment="1" applyProtection="1">
      <alignment horizontal="center" vertical="center" wrapText="1"/>
    </xf>
    <xf numFmtId="166" fontId="7" fillId="6" borderId="3" xfId="0" applyNumberFormat="1" applyFont="1" applyFill="1" applyBorder="1" applyAlignment="1" applyProtection="1">
      <alignment horizontal="center" vertical="center" wrapText="1"/>
    </xf>
    <xf numFmtId="0" fontId="7" fillId="7" borderId="3" xfId="0" applyFont="1" applyFill="1" applyBorder="1" applyAlignment="1" applyProtection="1">
      <alignment horizontal="center" vertical="center" wrapText="1"/>
    </xf>
    <xf numFmtId="0" fontId="7" fillId="7" borderId="5" xfId="0" applyFont="1" applyFill="1" applyBorder="1" applyAlignment="1" applyProtection="1">
      <alignment horizontal="center" vertical="center" wrapText="1"/>
    </xf>
    <xf numFmtId="0" fontId="8" fillId="4" borderId="3" xfId="0" applyFont="1" applyFill="1" applyBorder="1" applyAlignment="1" applyProtection="1">
      <alignment horizontal="center" vertical="center" wrapText="1"/>
    </xf>
    <xf numFmtId="0" fontId="9" fillId="4" borderId="3" xfId="0" applyFont="1" applyFill="1" applyBorder="1" applyAlignment="1" applyProtection="1">
      <alignment horizontal="center" vertical="center" wrapText="1"/>
    </xf>
    <xf numFmtId="0" fontId="8" fillId="4" borderId="5" xfId="0" applyFont="1" applyFill="1" applyBorder="1" applyAlignment="1" applyProtection="1">
      <alignment horizontal="center" vertical="center" wrapText="1"/>
    </xf>
    <xf numFmtId="0" fontId="10" fillId="4" borderId="3" xfId="0" applyFont="1" applyFill="1" applyBorder="1" applyAlignment="1" applyProtection="1">
      <alignment horizontal="center" vertical="center" wrapText="1"/>
    </xf>
    <xf numFmtId="20" fontId="9" fillId="4" borderId="3" xfId="0" applyNumberFormat="1" applyFont="1" applyFill="1" applyBorder="1" applyAlignment="1" applyProtection="1">
      <alignment horizontal="center" vertical="center" wrapText="1"/>
    </xf>
    <xf numFmtId="166" fontId="9" fillId="4" borderId="3" xfId="0" applyNumberFormat="1" applyFont="1" applyFill="1" applyBorder="1" applyAlignment="1" applyProtection="1">
      <alignment horizontal="center" vertical="center" wrapText="1"/>
    </xf>
    <xf numFmtId="167" fontId="8" fillId="4" borderId="5" xfId="0" applyNumberFormat="1" applyFont="1" applyFill="1" applyBorder="1" applyAlignment="1" applyProtection="1">
      <alignment horizontal="center" vertical="center" wrapText="1"/>
    </xf>
    <xf numFmtId="167" fontId="8" fillId="4" borderId="3" xfId="0" applyNumberFormat="1" applyFont="1" applyFill="1" applyBorder="1" applyAlignment="1" applyProtection="1">
      <alignment horizontal="center" vertical="center" wrapText="1"/>
    </xf>
    <xf numFmtId="0" fontId="0" fillId="4" borderId="3" xfId="0" applyFill="1" applyBorder="1" applyAlignment="1" applyProtection="1">
      <alignment horizontal="center" vertical="center" wrapText="1"/>
    </xf>
    <xf numFmtId="20" fontId="0" fillId="4" borderId="3" xfId="0" applyNumberFormat="1" applyFill="1" applyBorder="1" applyAlignment="1" applyProtection="1">
      <alignment horizontal="center" vertical="center" wrapText="1"/>
    </xf>
    <xf numFmtId="0" fontId="1" fillId="4" borderId="3" xfId="0" applyFont="1" applyFill="1" applyBorder="1" applyAlignment="1" applyProtection="1">
      <alignment horizontal="center" vertical="center" wrapText="1"/>
    </xf>
    <xf numFmtId="0" fontId="0" fillId="4" borderId="3" xfId="0" applyFill="1" applyBorder="1" applyAlignment="1" applyProtection="1">
      <alignment horizontal="center"/>
    </xf>
    <xf numFmtId="167" fontId="0" fillId="0" borderId="5" xfId="0" applyNumberFormat="1" applyBorder="1" applyAlignment="1" applyProtection="1">
      <alignment horizontal="center"/>
    </xf>
    <xf numFmtId="0" fontId="0" fillId="8" borderId="0" xfId="0" applyFill="1" applyAlignment="1" applyProtection="1">
      <alignment horizontal="center"/>
      <protection locked="0"/>
    </xf>
    <xf numFmtId="164" fontId="0" fillId="8" borderId="0" xfId="0" applyNumberFormat="1" applyFill="1" applyAlignment="1" applyProtection="1">
      <alignment horizontal="center"/>
      <protection locked="0"/>
    </xf>
    <xf numFmtId="2" fontId="0" fillId="8" borderId="0" xfId="0" applyNumberFormat="1" applyFill="1" applyAlignment="1" applyProtection="1">
      <alignment horizontal="center"/>
      <protection locked="0"/>
    </xf>
    <xf numFmtId="165" fontId="0" fillId="8" borderId="0" xfId="0" applyNumberFormat="1" applyFill="1" applyAlignment="1" applyProtection="1">
      <alignment horizontal="center"/>
      <protection locked="0"/>
    </xf>
    <xf numFmtId="166" fontId="0" fillId="8" borderId="0" xfId="0" applyNumberFormat="1" applyFill="1" applyAlignment="1" applyProtection="1">
      <alignment horizontal="center"/>
      <protection locked="0"/>
    </xf>
    <xf numFmtId="3" fontId="0" fillId="8" borderId="0" xfId="0" applyNumberFormat="1" applyFill="1" applyAlignment="1" applyProtection="1">
      <alignment horizontal="center"/>
      <protection locked="0"/>
    </xf>
    <xf numFmtId="4" fontId="0" fillId="8" borderId="0" xfId="0" applyNumberFormat="1" applyFill="1" applyAlignment="1" applyProtection="1">
      <alignment horizontal="center"/>
      <protection locked="0"/>
    </xf>
    <xf numFmtId="0" fontId="0" fillId="8" borderId="0" xfId="0" applyFill="1" applyProtection="1">
      <protection locked="0"/>
    </xf>
    <xf numFmtId="0" fontId="0" fillId="8" borderId="0" xfId="0" applyFill="1" applyAlignment="1" applyProtection="1">
      <alignment horizontal="left"/>
      <protection locked="0"/>
    </xf>
    <xf numFmtId="0" fontId="2" fillId="8" borderId="0" xfId="0" applyFont="1" applyFill="1" applyAlignment="1" applyProtection="1">
      <alignment horizontal="left"/>
      <protection locked="0"/>
    </xf>
    <xf numFmtId="0" fontId="23" fillId="8" borderId="0" xfId="0" applyFont="1" applyFill="1" applyAlignment="1" applyProtection="1">
      <alignment horizontal="center"/>
      <protection locked="0"/>
    </xf>
    <xf numFmtId="0" fontId="23" fillId="8" borderId="0" xfId="0" applyFont="1" applyFill="1" applyProtection="1">
      <protection locked="0"/>
    </xf>
    <xf numFmtId="166"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protection locked="0"/>
    </xf>
    <xf numFmtId="164" fontId="0" fillId="0" borderId="3" xfId="0" applyNumberFormat="1" applyBorder="1" applyAlignment="1" applyProtection="1">
      <alignment horizontal="center"/>
      <protection locked="0"/>
    </xf>
    <xf numFmtId="167" fontId="0" fillId="0" borderId="5" xfId="0" applyNumberFormat="1" applyBorder="1" applyAlignment="1" applyProtection="1">
      <alignment horizontal="center"/>
      <protection locked="0"/>
    </xf>
    <xf numFmtId="167" fontId="0" fillId="0" borderId="3" xfId="0" applyNumberFormat="1" applyBorder="1" applyAlignment="1" applyProtection="1">
      <alignment horizontal="center"/>
      <protection locked="0"/>
    </xf>
    <xf numFmtId="165" fontId="0" fillId="8" borderId="0" xfId="0" applyNumberFormat="1" applyFill="1" applyAlignment="1" applyProtection="1">
      <alignment horizontal="left"/>
      <protection locked="0"/>
    </xf>
    <xf numFmtId="0" fontId="0" fillId="0" borderId="3" xfId="0" applyBorder="1" applyAlignment="1" applyProtection="1">
      <alignment horizontal="center" vertical="center" wrapText="1"/>
      <protection locked="0"/>
    </xf>
    <xf numFmtId="164" fontId="0" fillId="0" borderId="3" xfId="0" applyNumberFormat="1" applyBorder="1" applyAlignment="1" applyProtection="1">
      <alignment horizontal="center" vertical="center" wrapText="1"/>
      <protection locked="0"/>
    </xf>
    <xf numFmtId="168" fontId="0" fillId="0" borderId="3" xfId="0" applyNumberFormat="1" applyBorder="1" applyAlignment="1" applyProtection="1">
      <alignment horizontal="center" vertical="center" wrapText="1"/>
      <protection locked="0"/>
    </xf>
    <xf numFmtId="2" fontId="0" fillId="0" borderId="3" xfId="0" applyNumberFormat="1" applyBorder="1" applyAlignment="1" applyProtection="1">
      <alignment horizontal="center" vertical="center" wrapText="1"/>
      <protection locked="0"/>
    </xf>
    <xf numFmtId="169" fontId="0" fillId="0" borderId="3" xfId="0" applyNumberFormat="1" applyBorder="1" applyAlignment="1" applyProtection="1">
      <alignment horizontal="center" vertical="center" wrapText="1"/>
      <protection locked="0"/>
    </xf>
    <xf numFmtId="0" fontId="11" fillId="0" borderId="3" xfId="1" applyBorder="1" applyAlignment="1" applyProtection="1">
      <alignment horizontal="center"/>
      <protection locked="0"/>
    </xf>
    <xf numFmtId="0" fontId="13" fillId="0" borderId="3" xfId="1" applyNumberFormat="1" applyFont="1" applyBorder="1" applyAlignment="1" applyProtection="1">
      <alignment horizontal="center"/>
      <protection locked="0"/>
    </xf>
    <xf numFmtId="0" fontId="14" fillId="8" borderId="0" xfId="0" applyFont="1" applyFill="1" applyAlignment="1" applyProtection="1">
      <alignment horizontal="center"/>
      <protection locked="0"/>
    </xf>
    <xf numFmtId="169" fontId="14" fillId="8" borderId="0" xfId="0" applyNumberFormat="1" applyFont="1" applyFill="1" applyAlignment="1" applyProtection="1">
      <alignment horizontal="center"/>
      <protection locked="0"/>
    </xf>
    <xf numFmtId="0" fontId="12" fillId="8" borderId="0" xfId="0" applyFont="1" applyFill="1" applyAlignment="1" applyProtection="1">
      <alignment horizontal="center"/>
      <protection locked="0"/>
    </xf>
    <xf numFmtId="0" fontId="11" fillId="0" borderId="3" xfId="1" applyNumberFormat="1" applyBorder="1" applyAlignment="1" applyProtection="1">
      <alignment horizontal="center" vertical="center" wrapText="1"/>
      <protection locked="0"/>
    </xf>
    <xf numFmtId="0" fontId="13" fillId="0" borderId="3" xfId="1" applyNumberFormat="1" applyFont="1" applyBorder="1" applyAlignment="1" applyProtection="1">
      <alignment horizontal="center" vertical="center" wrapText="1"/>
      <protection locked="0"/>
    </xf>
    <xf numFmtId="0" fontId="11" fillId="0" borderId="3" xfId="1" applyBorder="1" applyAlignment="1" applyProtection="1">
      <alignment horizontal="center" vertical="center" wrapText="1"/>
      <protection locked="0"/>
    </xf>
    <xf numFmtId="0" fontId="13" fillId="0" borderId="3" xfId="0" applyNumberFormat="1" applyFont="1" applyBorder="1" applyAlignment="1" applyProtection="1">
      <alignment horizontal="center" vertical="center" wrapText="1"/>
      <protection locked="0"/>
    </xf>
    <xf numFmtId="3" fontId="0" fillId="0" borderId="3" xfId="0" applyNumberFormat="1" applyBorder="1" applyAlignment="1" applyProtection="1">
      <alignment horizontal="right"/>
      <protection locked="0"/>
    </xf>
    <xf numFmtId="4" fontId="0" fillId="0" borderId="5" xfId="0" applyNumberFormat="1" applyBorder="1" applyAlignment="1" applyProtection="1">
      <alignment horizontal="center"/>
      <protection locked="0"/>
    </xf>
    <xf numFmtId="4" fontId="0" fillId="0" borderId="3" xfId="0" applyNumberFormat="1" applyBorder="1" applyAlignment="1" applyProtection="1">
      <alignment horizontal="center"/>
      <protection locked="0"/>
    </xf>
    <xf numFmtId="166" fontId="0" fillId="0" borderId="3" xfId="0" applyNumberFormat="1" applyBorder="1" applyAlignment="1" applyProtection="1">
      <alignment horizontal="center"/>
      <protection locked="0"/>
    </xf>
    <xf numFmtId="0" fontId="13" fillId="0" borderId="3" xfId="0" applyNumberFormat="1" applyFont="1" applyBorder="1" applyAlignment="1" applyProtection="1">
      <alignment horizontal="center"/>
      <protection locked="0"/>
    </xf>
    <xf numFmtId="2" fontId="0" fillId="0" borderId="3" xfId="0" applyNumberFormat="1" applyBorder="1" applyAlignment="1" applyProtection="1">
      <alignment horizontal="center"/>
      <protection locked="0"/>
    </xf>
    <xf numFmtId="169" fontId="0" fillId="0" borderId="3" xfId="0" applyNumberFormat="1" applyBorder="1" applyAlignment="1" applyProtection="1">
      <alignment horizontal="center"/>
      <protection locked="0"/>
    </xf>
    <xf numFmtId="0" fontId="0" fillId="8" borderId="0" xfId="0" applyFill="1" applyAlignment="1">
      <alignment horizontal="center"/>
    </xf>
    <xf numFmtId="0" fontId="0" fillId="8" borderId="0" xfId="0" applyFill="1" applyBorder="1" applyAlignment="1">
      <alignment horizontal="center"/>
    </xf>
    <xf numFmtId="0" fontId="2" fillId="3" borderId="3" xfId="0" applyFont="1" applyFill="1" applyBorder="1" applyAlignment="1" applyProtection="1">
      <alignment horizontal="center" vertical="center"/>
      <protection locked="0"/>
    </xf>
    <xf numFmtId="0" fontId="0" fillId="8" borderId="3" xfId="0" applyFill="1" applyBorder="1" applyAlignment="1" applyProtection="1">
      <alignment horizontal="center" vertical="center"/>
      <protection locked="0"/>
    </xf>
    <xf numFmtId="0" fontId="24" fillId="8" borderId="3" xfId="0" applyFont="1" applyFill="1" applyBorder="1" applyAlignment="1" applyProtection="1">
      <alignment horizontal="center"/>
      <protection locked="0"/>
    </xf>
    <xf numFmtId="2" fontId="0" fillId="0" borderId="3" xfId="0" applyNumberFormat="1" applyFill="1" applyBorder="1" applyAlignment="1" applyProtection="1">
      <alignment horizontal="center" vertical="center" wrapText="1"/>
      <protection locked="0"/>
    </xf>
    <xf numFmtId="2" fontId="0" fillId="0" borderId="3" xfId="0" applyNumberFormat="1" applyBorder="1" applyAlignment="1" applyProtection="1">
      <alignment horizontal="center" vertical="top"/>
      <protection locked="0"/>
    </xf>
    <xf numFmtId="166" fontId="4" fillId="3" borderId="20" xfId="0" applyNumberFormat="1" applyFont="1" applyFill="1" applyBorder="1" applyAlignment="1" applyProtection="1">
      <alignment horizontal="center" vertical="center"/>
    </xf>
    <xf numFmtId="166" fontId="4" fillId="3" borderId="0" xfId="0" applyNumberFormat="1" applyFont="1" applyFill="1" applyBorder="1" applyAlignment="1" applyProtection="1">
      <alignment horizontal="center" vertical="center"/>
    </xf>
    <xf numFmtId="0" fontId="9" fillId="4" borderId="5" xfId="0" applyFont="1" applyFill="1" applyBorder="1" applyAlignment="1" applyProtection="1">
      <alignment horizontal="center" vertical="center" wrapText="1"/>
    </xf>
    <xf numFmtId="0" fontId="9" fillId="4" borderId="2" xfId="0" applyFont="1" applyFill="1" applyBorder="1" applyAlignment="1" applyProtection="1">
      <alignment horizontal="center" vertical="center" wrapText="1"/>
    </xf>
    <xf numFmtId="0" fontId="3" fillId="2" borderId="0" xfId="0" applyFont="1" applyFill="1" applyAlignment="1" applyProtection="1">
      <alignment horizontal="center" vertical="center"/>
    </xf>
    <xf numFmtId="0" fontId="6" fillId="5" borderId="3" xfId="0" applyFont="1" applyFill="1" applyBorder="1" applyAlignment="1" applyProtection="1">
      <alignment horizontal="center" vertical="center"/>
    </xf>
    <xf numFmtId="166" fontId="6" fillId="5" borderId="3" xfId="0" applyNumberFormat="1" applyFont="1" applyFill="1" applyBorder="1" applyAlignment="1" applyProtection="1">
      <alignment horizontal="center"/>
    </xf>
    <xf numFmtId="0" fontId="15" fillId="8" borderId="0" xfId="0" applyFont="1" applyFill="1" applyAlignment="1">
      <alignment horizontal="left"/>
    </xf>
    <xf numFmtId="0" fontId="16" fillId="8" borderId="6" xfId="0" applyFont="1" applyFill="1" applyBorder="1" applyAlignment="1">
      <alignment horizontal="center"/>
    </xf>
    <xf numFmtId="0" fontId="16" fillId="8" borderId="7" xfId="0" applyFont="1" applyFill="1" applyBorder="1" applyAlignment="1">
      <alignment horizontal="center"/>
    </xf>
    <xf numFmtId="0" fontId="16" fillId="8" borderId="8" xfId="0" applyFont="1" applyFill="1" applyBorder="1" applyAlignment="1">
      <alignment horizontal="center"/>
    </xf>
    <xf numFmtId="0" fontId="17" fillId="8" borderId="9" xfId="0" applyFont="1" applyFill="1" applyBorder="1" applyAlignment="1">
      <alignment horizontal="center"/>
    </xf>
    <xf numFmtId="0" fontId="17" fillId="8" borderId="0" xfId="0" applyFont="1" applyFill="1" applyBorder="1" applyAlignment="1">
      <alignment horizontal="center"/>
    </xf>
    <xf numFmtId="0" fontId="17" fillId="8" borderId="10" xfId="0" applyFont="1" applyFill="1" applyBorder="1" applyAlignment="1">
      <alignment horizontal="center"/>
    </xf>
    <xf numFmtId="0" fontId="17" fillId="8" borderId="11" xfId="0" applyFont="1" applyFill="1" applyBorder="1" applyAlignment="1">
      <alignment horizontal="center"/>
    </xf>
    <xf numFmtId="0" fontId="17" fillId="8" borderId="12" xfId="0" applyFont="1" applyFill="1" applyBorder="1" applyAlignment="1">
      <alignment horizontal="center"/>
    </xf>
    <xf numFmtId="0" fontId="17" fillId="8" borderId="13" xfId="0" applyFont="1" applyFill="1" applyBorder="1" applyAlignment="1">
      <alignment horizontal="center"/>
    </xf>
    <xf numFmtId="0" fontId="19" fillId="8" borderId="0" xfId="0" applyFont="1" applyFill="1" applyAlignment="1">
      <alignment horizontal="center"/>
    </xf>
    <xf numFmtId="0" fontId="18" fillId="8" borderId="14" xfId="0" applyFont="1" applyFill="1" applyBorder="1" applyAlignment="1">
      <alignment horizontal="center"/>
    </xf>
    <xf numFmtId="0" fontId="18" fillId="8" borderId="15" xfId="0" applyFont="1" applyFill="1" applyBorder="1" applyAlignment="1">
      <alignment horizontal="center"/>
    </xf>
    <xf numFmtId="0" fontId="18" fillId="8" borderId="16" xfId="0" applyFont="1" applyFill="1" applyBorder="1" applyAlignment="1">
      <alignment horizontal="center"/>
    </xf>
    <xf numFmtId="0" fontId="15" fillId="8" borderId="17" xfId="0" applyFont="1" applyFill="1" applyBorder="1" applyAlignment="1">
      <alignment horizontal="left"/>
    </xf>
    <xf numFmtId="0" fontId="15" fillId="8" borderId="18" xfId="0" applyFont="1" applyFill="1" applyBorder="1" applyAlignment="1">
      <alignment horizontal="left"/>
    </xf>
    <xf numFmtId="0" fontId="15" fillId="8" borderId="19" xfId="0" applyFont="1" applyFill="1" applyBorder="1" applyAlignment="1">
      <alignment horizontal="left"/>
    </xf>
    <xf numFmtId="0" fontId="15" fillId="8" borderId="20" xfId="0" applyFont="1" applyFill="1" applyBorder="1" applyAlignment="1">
      <alignment horizontal="left"/>
    </xf>
    <xf numFmtId="0" fontId="15" fillId="8" borderId="0" xfId="0" applyFont="1" applyFill="1" applyBorder="1" applyAlignment="1">
      <alignment horizontal="left"/>
    </xf>
    <xf numFmtId="0" fontId="15" fillId="8" borderId="21" xfId="0" applyFont="1" applyFill="1" applyBorder="1" applyAlignment="1">
      <alignment horizontal="left"/>
    </xf>
    <xf numFmtId="0" fontId="19" fillId="8" borderId="20" xfId="0" applyFont="1" applyFill="1" applyBorder="1" applyAlignment="1">
      <alignment horizontal="left"/>
    </xf>
    <xf numFmtId="0" fontId="19" fillId="8" borderId="0" xfId="0" applyFont="1" applyFill="1" applyBorder="1" applyAlignment="1">
      <alignment horizontal="left"/>
    </xf>
    <xf numFmtId="0" fontId="19" fillId="8" borderId="21" xfId="0" applyFont="1" applyFill="1" applyBorder="1" applyAlignment="1">
      <alignment horizontal="left"/>
    </xf>
    <xf numFmtId="0" fontId="22" fillId="8" borderId="14" xfId="0" applyFont="1" applyFill="1" applyBorder="1" applyAlignment="1">
      <alignment horizontal="center"/>
    </xf>
    <xf numFmtId="0" fontId="22" fillId="8" borderId="15" xfId="0" applyFont="1" applyFill="1" applyBorder="1" applyAlignment="1">
      <alignment horizontal="center"/>
    </xf>
    <xf numFmtId="0" fontId="22" fillId="8" borderId="16" xfId="0" applyFont="1" applyFill="1" applyBorder="1" applyAlignment="1">
      <alignment horizontal="center"/>
    </xf>
    <xf numFmtId="0" fontId="20" fillId="8" borderId="14" xfId="0" applyFont="1" applyFill="1" applyBorder="1" applyAlignment="1">
      <alignment horizontal="center"/>
    </xf>
    <xf numFmtId="0" fontId="20" fillId="8" borderId="15" xfId="0" applyFont="1" applyFill="1" applyBorder="1" applyAlignment="1">
      <alignment horizontal="center"/>
    </xf>
    <xf numFmtId="0" fontId="20" fillId="8" borderId="16" xfId="0" applyFont="1" applyFill="1" applyBorder="1" applyAlignment="1">
      <alignment horizontal="center"/>
    </xf>
    <xf numFmtId="0" fontId="21" fillId="8" borderId="17" xfId="0" applyFont="1" applyFill="1" applyBorder="1" applyAlignment="1">
      <alignment horizontal="center"/>
    </xf>
    <xf numFmtId="0" fontId="21" fillId="8" borderId="18" xfId="0" applyFont="1" applyFill="1" applyBorder="1" applyAlignment="1">
      <alignment horizontal="center"/>
    </xf>
    <xf numFmtId="0" fontId="21" fillId="8" borderId="19" xfId="0" applyFont="1" applyFill="1" applyBorder="1" applyAlignment="1">
      <alignment horizontal="center"/>
    </xf>
    <xf numFmtId="0" fontId="15" fillId="8" borderId="20" xfId="0" applyFont="1" applyFill="1" applyBorder="1" applyAlignment="1">
      <alignment horizontal="center"/>
    </xf>
    <xf numFmtId="0" fontId="15" fillId="8" borderId="0" xfId="0" applyFont="1" applyFill="1" applyBorder="1" applyAlignment="1">
      <alignment horizontal="center"/>
    </xf>
    <xf numFmtId="0" fontId="15" fillId="8" borderId="21" xfId="0" applyFont="1" applyFill="1" applyBorder="1" applyAlignment="1">
      <alignment horizontal="center"/>
    </xf>
  </cellXfs>
  <cellStyles count="2">
    <cellStyle name="Hyperlink" xfId="1" builtinId="8"/>
    <cellStyle name="Normal" xfId="0" builtinId="0"/>
  </cellStyles>
  <dxfs count="14">
    <dxf>
      <fill>
        <patternFill>
          <bgColor theme="5" tint="0.39994506668294322"/>
        </patternFill>
      </fill>
      <border>
        <left style="thin">
          <color auto="1"/>
        </left>
        <right style="thin">
          <color auto="1"/>
        </right>
        <top style="thin">
          <color auto="1"/>
        </top>
        <bottom style="thin">
          <color auto="1"/>
        </bottom>
      </border>
    </dxf>
    <dxf>
      <fill>
        <patternFill>
          <bgColor theme="9" tint="0.39994506668294322"/>
        </patternFill>
      </fill>
      <border>
        <left style="thin">
          <color auto="1"/>
        </left>
        <right style="thin">
          <color auto="1"/>
        </right>
        <top style="thin">
          <color auto="1"/>
        </top>
        <bottom style="thin">
          <color auto="1"/>
        </bottom>
      </border>
    </dxf>
    <dxf>
      <fill>
        <patternFill>
          <bgColor theme="5" tint="0.79998168889431442"/>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ont>
        <b/>
        <i val="0"/>
        <color theme="0"/>
      </font>
      <fill>
        <patternFill>
          <bgColor theme="6" tint="0.39994506668294322"/>
        </patternFill>
      </fill>
      <border>
        <left style="thin">
          <color auto="1"/>
        </left>
        <right style="thin">
          <color auto="1"/>
        </right>
        <top style="thin">
          <color auto="1"/>
        </top>
        <bottom style="thin">
          <color auto="1"/>
        </bottom>
        <vertical/>
        <horizontal/>
      </border>
    </dxf>
    <dxf>
      <fill>
        <patternFill>
          <bgColor theme="9" tint="0.39994506668294322"/>
        </patternFill>
      </fill>
      <border>
        <left style="thin">
          <color auto="1"/>
        </left>
        <right style="thin">
          <color auto="1"/>
        </right>
        <top style="thin">
          <color auto="1"/>
        </top>
        <bottom style="thin">
          <color auto="1"/>
        </bottom>
        <vertical/>
        <horizontal/>
      </border>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numFmt numFmtId="166" formatCode="_ [$₹-4009]\ * #,##0.00_ ;_ [$₹-4009]\ * \-#,##0.00_ ;_ [$₹-4009]\ * &quot;-&quot;??_ ;_ @_ "/>
    </dxf>
    <dxf>
      <numFmt numFmtId="166" formatCode="_ [$₹-4009]\ * #,##0.00_ ;_ [$₹-4009]\ * \-#,##0.00_ ;_ [$₹-4009]\ * &quot;-&quot;??_ ;_ @_ "/>
    </dxf>
    <dxf>
      <numFmt numFmtId="14" formatCode="0.00%"/>
    </dxf>
    <dxf>
      <numFmt numFmtId="167" formatCode="&quot;₹&quot;\ #,##0.00"/>
    </dxf>
  </dxfs>
  <tableStyles count="0" defaultTableStyle="TableStyleMedium2" defaultPivotStyle="PivotStyleLight16"/>
  <colors>
    <mruColors>
      <color rgb="FFF2F0F5"/>
      <color rgb="FF010D01"/>
      <color rgb="FF28263B"/>
      <color rgb="FF010D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4.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TABLE!PivotTable5</c:name>
    <c:fmtId val="6"/>
  </c:pivotSource>
  <c:chart>
    <c:title>
      <c:tx>
        <c:rich>
          <a:bodyPr rot="0" spcFirstLastPara="1" vertOverflow="ellipsis" vert="horz" wrap="square" anchor="ctr" anchorCtr="1"/>
          <a:lstStyle/>
          <a:p>
            <a:pPr>
              <a:defRPr sz="1600" b="1" i="0" u="none" strike="noStrike" kern="1200" spc="0" normalizeH="0" baseline="0">
                <a:solidFill>
                  <a:schemeClr val="tx1"/>
                </a:solidFill>
                <a:latin typeface="+mj-lt"/>
                <a:ea typeface="+mj-ea"/>
                <a:cs typeface="+mj-cs"/>
              </a:defRPr>
            </a:pPr>
            <a:r>
              <a:rPr lang="en-US">
                <a:solidFill>
                  <a:schemeClr val="tx1"/>
                </a:solidFill>
              </a:rPr>
              <a:t>WINNlNG</a:t>
            </a:r>
          </a:p>
          <a:p>
            <a:pPr>
              <a:defRPr>
                <a:solidFill>
                  <a:schemeClr val="tx1"/>
                </a:solidFill>
              </a:defRPr>
            </a:pPr>
            <a:r>
              <a:rPr lang="en-US">
                <a:solidFill>
                  <a:schemeClr val="tx1"/>
                </a:solidFill>
              </a:rPr>
              <a:t>PERCENTAGE</a:t>
            </a:r>
          </a:p>
        </c:rich>
      </c:tx>
      <c:layout>
        <c:manualLayout>
          <c:xMode val="edge"/>
          <c:yMode val="edge"/>
          <c:x val="0.40288437203836691"/>
          <c:y val="0.37108705528126684"/>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tx1"/>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30211535753152807"/>
          <c:y val="6.7851409551946212E-2"/>
          <c:w val="0.36616221752768707"/>
          <c:h val="0.82543802987717907"/>
        </c:manualLayout>
      </c:layout>
      <c:doughnutChart>
        <c:varyColors val="1"/>
        <c:ser>
          <c:idx val="0"/>
          <c:order val="0"/>
          <c:tx>
            <c:strRef>
              <c:f>'PIVOT TABLE'!$M$2</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9411-467B-B9EF-B7FE9E1B606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9411-467B-B9EF-B7FE9E1B6067}"/>
              </c:ext>
            </c:extLst>
          </c:dPt>
          <c:dLbls>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TABLE'!$L$3:$L$5</c:f>
              <c:strCache>
                <c:ptCount val="2"/>
                <c:pt idx="0">
                  <c:v>L</c:v>
                </c:pt>
                <c:pt idx="1">
                  <c:v>W</c:v>
                </c:pt>
              </c:strCache>
            </c:strRef>
          </c:cat>
          <c:val>
            <c:numRef>
              <c:f>'PIVOT TABLE'!$M$3:$M$5</c:f>
              <c:numCache>
                <c:formatCode>General</c:formatCode>
                <c:ptCount val="2"/>
                <c:pt idx="0">
                  <c:v>54</c:v>
                </c:pt>
                <c:pt idx="1">
                  <c:v>66</c:v>
                </c:pt>
              </c:numCache>
            </c:numRef>
          </c:val>
          <c:extLst>
            <c:ext xmlns:c16="http://schemas.microsoft.com/office/drawing/2014/chart" uri="{C3380CC4-5D6E-409C-BE32-E72D297353CC}">
              <c16:uniqueId val="{00000004-9411-467B-B9EF-B7FE9E1B6067}"/>
            </c:ext>
          </c:extLst>
        </c:ser>
        <c:dLbls>
          <c:showLegendKey val="0"/>
          <c:showVal val="0"/>
          <c:showCatName val="0"/>
          <c:showSerName val="0"/>
          <c:showPercent val="1"/>
          <c:showBubbleSize val="0"/>
          <c:showLeaderLines val="1"/>
        </c:dLbls>
        <c:firstSliceAng val="194"/>
        <c:holeSize val="60"/>
      </c:doughnutChart>
      <c:spPr>
        <a:noFill/>
        <a:ln>
          <a:noFill/>
        </a:ln>
        <a:effectLst/>
      </c:spPr>
    </c:plotArea>
    <c:legend>
      <c:legendPos val="b"/>
      <c:layout>
        <c:manualLayout>
          <c:xMode val="edge"/>
          <c:yMode val="edge"/>
          <c:x val="0.12233224505473402"/>
          <c:y val="0.88393225653574115"/>
          <c:w val="0.6953759682478714"/>
          <c:h val="8.8290013790444141E-2"/>
        </c:manualLayout>
      </c:layout>
      <c:overlay val="0"/>
      <c:spPr>
        <a:solidFill>
          <a:schemeClr val="lt1">
            <a:alpha val="50000"/>
          </a:schemeClr>
        </a:solidFill>
        <a:ln>
          <a:noFill/>
        </a:ln>
        <a:effectLst/>
      </c:spPr>
      <c:txPr>
        <a:bodyPr rot="0" spcFirstLastPara="1" vertOverflow="ellipsis" vert="horz" wrap="square" anchor="ctr" anchorCtr="1"/>
        <a:lstStyle/>
        <a:p>
          <a:pPr>
            <a:defRPr sz="2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TABLE!PivotTable10</c:name>
    <c:fmtId val="3"/>
  </c:pivotSource>
  <c:chart>
    <c:title>
      <c:tx>
        <c:rich>
          <a:bodyPr rot="0" spcFirstLastPara="1" vertOverflow="ellipsis" vert="horz" wrap="square" anchor="ctr" anchorCtr="1"/>
          <a:lstStyle/>
          <a:p>
            <a:pPr>
              <a:defRPr lang="en-US" sz="1080" b="1" i="0" u="none" strike="noStrike" kern="1200" baseline="0">
                <a:solidFill>
                  <a:schemeClr val="dk1"/>
                </a:solidFill>
                <a:latin typeface="+mn-lt"/>
                <a:ea typeface="+mn-ea"/>
                <a:cs typeface="+mn-cs"/>
              </a:defRPr>
            </a:pPr>
            <a:r>
              <a:rPr lang="en-IN" b="1"/>
              <a:t> </a:t>
            </a:r>
            <a:r>
              <a:rPr lang="en-IN" sz="2400" b="1"/>
              <a:t>TOTALPROFIT</a:t>
            </a:r>
            <a:r>
              <a:rPr lang="en-IN" sz="2400" b="1" baseline="0"/>
              <a:t> AND LOSS</a:t>
            </a:r>
            <a:endParaRPr lang="en-IN" sz="2400" b="1"/>
          </a:p>
        </c:rich>
      </c:tx>
      <c:layout>
        <c:manualLayout>
          <c:xMode val="edge"/>
          <c:yMode val="edge"/>
          <c:x val="0.30687330917874395"/>
          <c:y val="1.7817059483726149E-2"/>
        </c:manualLayout>
      </c:layout>
      <c:overlay val="0"/>
      <c:spPr>
        <a:noFill/>
        <a:ln>
          <a:noFill/>
        </a:ln>
        <a:effectLst/>
      </c:spPr>
      <c:txPr>
        <a:bodyPr rot="0" spcFirstLastPara="1" vertOverflow="ellipsis" vert="horz" wrap="square" anchor="ctr" anchorCtr="1"/>
        <a:lstStyle/>
        <a:p>
          <a:pPr>
            <a:defRPr lang="en-US" sz="108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quot;₹&quot;\ #,##0.00" sourceLinked="0"/>
          <c:spPr>
            <a:noFill/>
            <a:ln>
              <a:noFill/>
            </a:ln>
            <a:effectLst/>
          </c:spPr>
          <c:txPr>
            <a:bodyPr rot="0" spcFirstLastPara="1" vertOverflow="ellipsis" vert="horz" wrap="square" lIns="38100" tIns="19050" rIns="38100" bIns="19050" anchor="ctr"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 #,##0.00" sourceLinked="0"/>
          <c:spPr>
            <a:noFill/>
            <a:ln>
              <a:noFill/>
            </a:ln>
            <a:effectLst/>
          </c:spPr>
          <c:txPr>
            <a:bodyPr rot="0" spcFirstLastPara="1" vertOverflow="ellipsis" vert="horz" wrap="square" lIns="38100" tIns="19050" rIns="38100" bIns="19050" anchor="ctr"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 #,##0.00" sourceLinked="0"/>
          <c:spPr>
            <a:noFill/>
            <a:ln>
              <a:noFill/>
            </a:ln>
            <a:effectLst/>
          </c:spPr>
          <c:txPr>
            <a:bodyPr rot="0" spcFirstLastPara="1" vertOverflow="ellipsis" vert="horz" wrap="square" lIns="38100" tIns="19050" rIns="38100" bIns="19050" anchor="ctr"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22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a:outerShdw blurRad="57150" dist="19050" dir="5400000" algn="ctr" rotWithShape="0">
              <a:srgbClr val="000000">
                <a:alpha val="63000"/>
              </a:srgbClr>
            </a:outerShdw>
          </a:effectLst>
        </c:spPr>
        <c:dLbl>
          <c:idx val="0"/>
          <c:numFmt formatCode="&quot;₹&quot;\ #,##0.00" sourceLinked="0"/>
          <c:spPr>
            <a:noFill/>
            <a:ln>
              <a:noFill/>
            </a:ln>
            <a:effectLst/>
          </c:spPr>
          <c:txPr>
            <a:bodyPr rot="0" spcFirstLastPara="1" vertOverflow="ellipsis" vert="horz" wrap="square" anchor="ctr" anchorCtr="1"/>
            <a:lstStyle/>
            <a:p>
              <a:pPr>
                <a:defRPr lang="en-US" sz="22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lang="en-US" sz="22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1835748792269"/>
          <c:y val="7.8395061728395068E-2"/>
          <c:w val="0.68556763285024158"/>
          <c:h val="0.7969090909090909"/>
        </c:manualLayout>
      </c:layout>
      <c:barChart>
        <c:barDir val="col"/>
        <c:grouping val="clustered"/>
        <c:varyColors val="0"/>
        <c:ser>
          <c:idx val="0"/>
          <c:order val="0"/>
          <c:tx>
            <c:strRef>
              <c:f>'PIVOT TABLE'!$O$2</c:f>
              <c:strCache>
                <c:ptCount val="1"/>
                <c:pt idx="0">
                  <c:v>LOSS</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6E93-4882-86B7-B25776F83AE0}"/>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93-4882-86B7-B25776F83AE0}"/>
                </c:ext>
              </c:extLst>
            </c:dLbl>
            <c:numFmt formatCode="&quot;₹&quot;\ #,##0.00" sourceLinked="0"/>
            <c:spPr>
              <a:noFill/>
              <a:ln>
                <a:noFill/>
              </a:ln>
              <a:effectLst/>
            </c:spPr>
            <c:txPr>
              <a:bodyPr rot="0" spcFirstLastPara="1" vertOverflow="ellipsis" vert="horz" wrap="square" anchor="ctr" anchorCtr="1"/>
              <a:lstStyle/>
              <a:p>
                <a:pPr>
                  <a:defRPr lang="en-US" sz="22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TABLE'!$O$3</c:f>
              <c:strCache>
                <c:ptCount val="1"/>
                <c:pt idx="0">
                  <c:v>Total</c:v>
                </c:pt>
              </c:strCache>
            </c:strRef>
          </c:cat>
          <c:val>
            <c:numRef>
              <c:f>'PIVOT TABLE'!$O$3</c:f>
              <c:numCache>
                <c:formatCode>General</c:formatCode>
                <c:ptCount val="1"/>
                <c:pt idx="0">
                  <c:v>8825</c:v>
                </c:pt>
              </c:numCache>
            </c:numRef>
          </c:val>
          <c:extLst>
            <c:ext xmlns:c16="http://schemas.microsoft.com/office/drawing/2014/chart" uri="{C3380CC4-5D6E-409C-BE32-E72D297353CC}">
              <c16:uniqueId val="{00000001-6E93-4882-86B7-B25776F83AE0}"/>
            </c:ext>
          </c:extLst>
        </c:ser>
        <c:ser>
          <c:idx val="1"/>
          <c:order val="1"/>
          <c:tx>
            <c:strRef>
              <c:f>'PIVOT TABLE'!$P$2</c:f>
              <c:strCache>
                <c:ptCount val="1"/>
                <c:pt idx="0">
                  <c:v>GAINS</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numFmt formatCode="&quot;₹&quot;\ #,##0.00" sourceLinked="0"/>
            <c:spPr>
              <a:noFill/>
              <a:ln>
                <a:noFill/>
              </a:ln>
              <a:effectLst/>
            </c:spPr>
            <c:txPr>
              <a:bodyPr rot="0" spcFirstLastPara="1" vertOverflow="ellipsis" vert="horz" wrap="square" anchor="ctr" anchorCtr="1"/>
              <a:lstStyle/>
              <a:p>
                <a:pPr>
                  <a:defRPr lang="en-US" sz="22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TABLE'!$O$3</c:f>
              <c:strCache>
                <c:ptCount val="1"/>
                <c:pt idx="0">
                  <c:v>Total</c:v>
                </c:pt>
              </c:strCache>
            </c:strRef>
          </c:cat>
          <c:val>
            <c:numRef>
              <c:f>'PIVOT TABLE'!$P$3</c:f>
              <c:numCache>
                <c:formatCode>General</c:formatCode>
                <c:ptCount val="1"/>
                <c:pt idx="0">
                  <c:v>11430</c:v>
                </c:pt>
              </c:numCache>
            </c:numRef>
          </c:val>
          <c:extLst>
            <c:ext xmlns:c16="http://schemas.microsoft.com/office/drawing/2014/chart" uri="{C3380CC4-5D6E-409C-BE32-E72D297353CC}">
              <c16:uniqueId val="{00000002-6E93-4882-86B7-B25776F83AE0}"/>
            </c:ext>
          </c:extLst>
        </c:ser>
        <c:dLbls>
          <c:showLegendKey val="0"/>
          <c:showVal val="0"/>
          <c:showCatName val="0"/>
          <c:showSerName val="0"/>
          <c:showPercent val="0"/>
          <c:showBubbleSize val="0"/>
        </c:dLbls>
        <c:gapWidth val="100"/>
        <c:overlap val="-24"/>
        <c:axId val="2137952080"/>
        <c:axId val="2137948240"/>
      </c:barChart>
      <c:catAx>
        <c:axId val="2137952080"/>
        <c:scaling>
          <c:orientation val="minMax"/>
        </c:scaling>
        <c:delete val="1"/>
        <c:axPos val="b"/>
        <c:numFmt formatCode="General" sourceLinked="1"/>
        <c:majorTickMark val="none"/>
        <c:minorTickMark val="none"/>
        <c:tickLblPos val="nextTo"/>
        <c:crossAx val="2137948240"/>
        <c:crosses val="autoZero"/>
        <c:auto val="1"/>
        <c:lblAlgn val="ctr"/>
        <c:lblOffset val="100"/>
        <c:noMultiLvlLbl val="0"/>
      </c:catAx>
      <c:valAx>
        <c:axId val="213794824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137952080"/>
        <c:crosses val="autoZero"/>
        <c:crossBetween val="between"/>
      </c:valAx>
      <c:spPr>
        <a:noFill/>
        <a:ln>
          <a:noFill/>
        </a:ln>
        <a:effectLst/>
      </c:spPr>
    </c:plotArea>
    <c:legend>
      <c:legendPos val="b"/>
      <c:layout>
        <c:manualLayout>
          <c:xMode val="edge"/>
          <c:yMode val="edge"/>
          <c:x val="0.34812028985507248"/>
          <c:y val="0.86101964085297422"/>
          <c:w val="0.30682693236714975"/>
          <c:h val="0.12472671156004489"/>
        </c:manualLayout>
      </c:layout>
      <c:overlay val="0"/>
      <c:spPr>
        <a:noFill/>
        <a:ln>
          <a:noFill/>
        </a:ln>
        <a:effectLst/>
      </c:spPr>
      <c:txPr>
        <a:bodyPr rot="0" spcFirstLastPara="1" vertOverflow="ellipsis" vert="horz" wrap="square" anchor="ctr" anchorCtr="1"/>
        <a:lstStyle/>
        <a:p>
          <a:pPr>
            <a:defRPr lang="en-US" sz="24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TABLE!PivotTable38</c:name>
    <c:fmtId val="4"/>
  </c:pivotSource>
  <c:chart>
    <c:title>
      <c:tx>
        <c:rich>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r>
              <a:rPr lang="en-IN" sz="2400">
                <a:solidFill>
                  <a:schemeClr val="tx1"/>
                </a:solidFill>
              </a:rPr>
              <a:t>ACCOUNT</a:t>
            </a:r>
            <a:r>
              <a:rPr lang="en-IN" sz="2400" baseline="0">
                <a:solidFill>
                  <a:schemeClr val="tx1"/>
                </a:solidFill>
              </a:rPr>
              <a:t> PNL CURVE</a:t>
            </a:r>
            <a:endParaRPr lang="en-IN" sz="2400">
              <a:solidFill>
                <a:schemeClr val="tx1"/>
              </a:solidFill>
            </a:endParaRP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TABLE'!$AT$2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TABLE'!$AS$3:$AS$25</c:f>
              <c:strCache>
                <c:ptCount val="22"/>
                <c:pt idx="0">
                  <c:v>01-04-2024</c:v>
                </c:pt>
                <c:pt idx="1">
                  <c:v>02-04-2024</c:v>
                </c:pt>
                <c:pt idx="2">
                  <c:v>03-04-2024</c:v>
                </c:pt>
                <c:pt idx="3">
                  <c:v>04-04-2024</c:v>
                </c:pt>
                <c:pt idx="4">
                  <c:v>05-04-2024</c:v>
                </c:pt>
                <c:pt idx="5">
                  <c:v>08-04-2024</c:v>
                </c:pt>
                <c:pt idx="6">
                  <c:v>09-04-2024</c:v>
                </c:pt>
                <c:pt idx="7">
                  <c:v>10-04-2024</c:v>
                </c:pt>
                <c:pt idx="8">
                  <c:v>11-04-2024</c:v>
                </c:pt>
                <c:pt idx="9">
                  <c:v>12-04-2024</c:v>
                </c:pt>
                <c:pt idx="10">
                  <c:v>15-04-2024</c:v>
                </c:pt>
                <c:pt idx="11">
                  <c:v>16-04-2024</c:v>
                </c:pt>
                <c:pt idx="12">
                  <c:v>17-04-2024</c:v>
                </c:pt>
                <c:pt idx="13">
                  <c:v>18-04-2024</c:v>
                </c:pt>
                <c:pt idx="14">
                  <c:v>19-04-2024</c:v>
                </c:pt>
                <c:pt idx="15">
                  <c:v>22-04-2024</c:v>
                </c:pt>
                <c:pt idx="16">
                  <c:v>23-04-2024</c:v>
                </c:pt>
                <c:pt idx="17">
                  <c:v>24-04-2024</c:v>
                </c:pt>
                <c:pt idx="18">
                  <c:v>25-04-2024</c:v>
                </c:pt>
                <c:pt idx="19">
                  <c:v>26-04-2024</c:v>
                </c:pt>
                <c:pt idx="20">
                  <c:v>29-04-2024</c:v>
                </c:pt>
                <c:pt idx="21">
                  <c:v>30-04-2024</c:v>
                </c:pt>
              </c:strCache>
            </c:strRef>
          </c:cat>
          <c:val>
            <c:numRef>
              <c:f>'PIVOT TABLE'!$AT$3:$AT$25</c:f>
              <c:numCache>
                <c:formatCode>General</c:formatCode>
                <c:ptCount val="22"/>
                <c:pt idx="0">
                  <c:v>10225</c:v>
                </c:pt>
                <c:pt idx="1">
                  <c:v>10395</c:v>
                </c:pt>
                <c:pt idx="2">
                  <c:v>10575</c:v>
                </c:pt>
                <c:pt idx="3">
                  <c:v>10735</c:v>
                </c:pt>
                <c:pt idx="4">
                  <c:v>10885</c:v>
                </c:pt>
                <c:pt idx="5">
                  <c:v>10715</c:v>
                </c:pt>
                <c:pt idx="6">
                  <c:v>10865</c:v>
                </c:pt>
                <c:pt idx="7">
                  <c:v>10705</c:v>
                </c:pt>
                <c:pt idx="8">
                  <c:v>10875</c:v>
                </c:pt>
                <c:pt idx="9">
                  <c:v>10715</c:v>
                </c:pt>
                <c:pt idx="10">
                  <c:v>10885</c:v>
                </c:pt>
                <c:pt idx="11">
                  <c:v>11065</c:v>
                </c:pt>
                <c:pt idx="12">
                  <c:v>10915</c:v>
                </c:pt>
                <c:pt idx="13">
                  <c:v>11075</c:v>
                </c:pt>
                <c:pt idx="14">
                  <c:v>10905</c:v>
                </c:pt>
                <c:pt idx="15">
                  <c:v>10755</c:v>
                </c:pt>
                <c:pt idx="16">
                  <c:v>10915</c:v>
                </c:pt>
                <c:pt idx="17">
                  <c:v>10745</c:v>
                </c:pt>
                <c:pt idx="18">
                  <c:v>10895</c:v>
                </c:pt>
                <c:pt idx="19">
                  <c:v>10725</c:v>
                </c:pt>
                <c:pt idx="20">
                  <c:v>10565</c:v>
                </c:pt>
                <c:pt idx="21">
                  <c:v>10385</c:v>
                </c:pt>
              </c:numCache>
            </c:numRef>
          </c:val>
          <c:smooth val="0"/>
          <c:extLst>
            <c:ext xmlns:c16="http://schemas.microsoft.com/office/drawing/2014/chart" uri="{C3380CC4-5D6E-409C-BE32-E72D297353CC}">
              <c16:uniqueId val="{00000000-081F-4FD5-9A29-A54DC26D9BFA}"/>
            </c:ext>
          </c:extLst>
        </c:ser>
        <c:dLbls>
          <c:showLegendKey val="0"/>
          <c:showVal val="0"/>
          <c:showCatName val="0"/>
          <c:showSerName val="0"/>
          <c:showPercent val="0"/>
          <c:showBubbleSize val="0"/>
        </c:dLbls>
        <c:marker val="1"/>
        <c:smooth val="0"/>
        <c:axId val="626774832"/>
        <c:axId val="626775312"/>
      </c:lineChart>
      <c:catAx>
        <c:axId val="626774832"/>
        <c:scaling>
          <c:orientation val="minMax"/>
        </c:scaling>
        <c:delete val="1"/>
        <c:axPos val="b"/>
        <c:numFmt formatCode="General" sourceLinked="1"/>
        <c:majorTickMark val="none"/>
        <c:minorTickMark val="none"/>
        <c:tickLblPos val="nextTo"/>
        <c:crossAx val="626775312"/>
        <c:crosses val="autoZero"/>
        <c:auto val="1"/>
        <c:lblAlgn val="ctr"/>
        <c:lblOffset val="100"/>
        <c:noMultiLvlLbl val="0"/>
      </c:catAx>
      <c:valAx>
        <c:axId val="62677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62677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TABLE!PivotTable16</c:name>
    <c:fmtId val="7"/>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IN" sz="2400" b="1">
                <a:solidFill>
                  <a:schemeClr val="tx1"/>
                </a:solidFill>
              </a:rPr>
              <a:t>DIRECTION</a:t>
            </a:r>
            <a:r>
              <a:rPr lang="en-IN" sz="2400" b="1" baseline="0">
                <a:solidFill>
                  <a:schemeClr val="tx1"/>
                </a:solidFill>
              </a:rPr>
              <a:t> WISE PROFIT N LOSS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71980676328502E-2"/>
          <c:y val="9.1398842592592594E-2"/>
          <c:w val="0.966256038647343"/>
          <c:h val="0.77338912037037022"/>
        </c:manualLayout>
      </c:layout>
      <c:barChart>
        <c:barDir val="col"/>
        <c:grouping val="clustered"/>
        <c:varyColors val="0"/>
        <c:ser>
          <c:idx val="0"/>
          <c:order val="0"/>
          <c:tx>
            <c:strRef>
              <c:f>'PIVOT TABLE'!$H$256:$H$257</c:f>
              <c:strCache>
                <c:ptCount val="1"/>
                <c:pt idx="0">
                  <c:v>L</c:v>
                </c:pt>
              </c:strCache>
            </c:strRef>
          </c:tx>
          <c:spPr>
            <a:solidFill>
              <a:schemeClr val="tx2">
                <a:lumMod val="50000"/>
                <a:lumOff val="50000"/>
              </a:schemeClr>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TABLE'!$G$258:$G$259</c:f>
              <c:strCache>
                <c:ptCount val="1"/>
                <c:pt idx="0">
                  <c:v>SHORT</c:v>
                </c:pt>
              </c:strCache>
            </c:strRef>
          </c:cat>
          <c:val>
            <c:numRef>
              <c:f>'PIVOT TABLE'!$H$258:$H$259</c:f>
              <c:numCache>
                <c:formatCode>General</c:formatCode>
                <c:ptCount val="1"/>
                <c:pt idx="0">
                  <c:v>4940</c:v>
                </c:pt>
              </c:numCache>
            </c:numRef>
          </c:val>
          <c:extLst>
            <c:ext xmlns:c16="http://schemas.microsoft.com/office/drawing/2014/chart" uri="{C3380CC4-5D6E-409C-BE32-E72D297353CC}">
              <c16:uniqueId val="{00000000-47A9-411A-B0B5-499B6DBDE887}"/>
            </c:ext>
          </c:extLst>
        </c:ser>
        <c:ser>
          <c:idx val="1"/>
          <c:order val="1"/>
          <c:tx>
            <c:strRef>
              <c:f>'PIVOT TABLE'!$I$256:$I$257</c:f>
              <c:strCache>
                <c:ptCount val="1"/>
                <c:pt idx="0">
                  <c:v>W</c:v>
                </c:pt>
              </c:strCache>
            </c:strRef>
          </c:tx>
          <c:spPr>
            <a:solidFill>
              <a:schemeClr val="accent6">
                <a:lumMod val="60000"/>
                <a:lumOff val="40000"/>
              </a:schemeClr>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TABLE'!$G$258:$G$259</c:f>
              <c:strCache>
                <c:ptCount val="1"/>
                <c:pt idx="0">
                  <c:v>SHORT</c:v>
                </c:pt>
              </c:strCache>
            </c:strRef>
          </c:cat>
          <c:val>
            <c:numRef>
              <c:f>'PIVOT TABLE'!$I$258:$I$259</c:f>
              <c:numCache>
                <c:formatCode>General</c:formatCode>
                <c:ptCount val="1"/>
                <c:pt idx="0">
                  <c:v>5180</c:v>
                </c:pt>
              </c:numCache>
            </c:numRef>
          </c:val>
          <c:extLst>
            <c:ext xmlns:c16="http://schemas.microsoft.com/office/drawing/2014/chart" uri="{C3380CC4-5D6E-409C-BE32-E72D297353CC}">
              <c16:uniqueId val="{00000004-8152-4F1A-9E3B-64A9A3835EA9}"/>
            </c:ext>
          </c:extLst>
        </c:ser>
        <c:dLbls>
          <c:showLegendKey val="0"/>
          <c:showVal val="0"/>
          <c:showCatName val="0"/>
          <c:showSerName val="0"/>
          <c:showPercent val="0"/>
          <c:showBubbleSize val="0"/>
        </c:dLbls>
        <c:gapWidth val="219"/>
        <c:overlap val="-27"/>
        <c:axId val="1822154832"/>
        <c:axId val="1822162512"/>
      </c:barChart>
      <c:catAx>
        <c:axId val="18221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22162512"/>
        <c:crosses val="autoZero"/>
        <c:auto val="1"/>
        <c:lblAlgn val="ctr"/>
        <c:lblOffset val="100"/>
        <c:noMultiLvlLbl val="0"/>
      </c:catAx>
      <c:valAx>
        <c:axId val="1822162512"/>
        <c:scaling>
          <c:orientation val="minMax"/>
        </c:scaling>
        <c:delete val="1"/>
        <c:axPos val="l"/>
        <c:numFmt formatCode="General" sourceLinked="1"/>
        <c:majorTickMark val="none"/>
        <c:minorTickMark val="none"/>
        <c:tickLblPos val="nextTo"/>
        <c:crossAx val="1822154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TABLE!PivotTable13</c:name>
    <c:fmtId val="14"/>
  </c:pivotSource>
  <c:chart>
    <c:title>
      <c:tx>
        <c:rich>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r>
              <a:rPr lang="en-US" sz="2400">
                <a:solidFill>
                  <a:schemeClr val="tx1"/>
                </a:solidFill>
              </a:rPr>
              <a:t>DIRECTION</a:t>
            </a:r>
            <a:r>
              <a:rPr lang="en-US" sz="2400" baseline="0">
                <a:solidFill>
                  <a:schemeClr val="tx1"/>
                </a:solidFill>
              </a:rPr>
              <a:t> WISE WINNING PERCENTAGE</a:t>
            </a:r>
            <a:endParaRPr lang="en-US" sz="2400">
              <a:solidFill>
                <a:schemeClr val="tx1"/>
              </a:solidFill>
            </a:endParaRP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tx2">
              <a:lumMod val="50000"/>
              <a:lumOff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317500" algn="ctr" rotWithShape="0">
              <a:prstClr val="black">
                <a:alpha val="25000"/>
              </a:prstClr>
            </a:outerShdw>
          </a:effectLst>
        </c:spPr>
      </c:pivotFmt>
      <c:pivotFmt>
        <c:idx val="6"/>
        <c:spPr>
          <a:solidFill>
            <a:schemeClr val="accent6">
              <a:lumMod val="60000"/>
              <a:lumOff val="40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a:outerShdw blurRad="317500" algn="ctr" rotWithShape="0">
              <a:prstClr val="black">
                <a:alpha val="25000"/>
              </a:prstClr>
            </a:outerShdw>
          </a:effectLst>
        </c:spPr>
      </c:pivotFmt>
      <c:pivotFmt>
        <c:idx val="10"/>
        <c:spPr>
          <a:solidFill>
            <a:schemeClr val="tx2">
              <a:lumMod val="50000"/>
              <a:lumOff val="5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TABLE'!$R$256</c:f>
              <c:strCache>
                <c:ptCount val="1"/>
                <c:pt idx="0">
                  <c:v>Total</c:v>
                </c:pt>
              </c:strCache>
            </c:strRef>
          </c:tx>
          <c:spPr>
            <a:solidFill>
              <a:schemeClr val="tx2">
                <a:lumMod val="50000"/>
                <a:lumOff val="50000"/>
              </a:schemeClr>
            </a:solidFill>
          </c:spPr>
          <c:dPt>
            <c:idx val="0"/>
            <c:bubble3D val="0"/>
            <c:spPr>
              <a:solidFill>
                <a:schemeClr val="tx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4D0-4C27-822C-1BE3E9CD4FBD}"/>
              </c:ext>
            </c:extLst>
          </c:dPt>
          <c:dPt>
            <c:idx val="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4D0-4C27-822C-1BE3E9CD4FBD}"/>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TABLE'!$Q$257:$Q$259</c:f>
              <c:strCache>
                <c:ptCount val="2"/>
                <c:pt idx="0">
                  <c:v>L</c:v>
                </c:pt>
                <c:pt idx="1">
                  <c:v>W</c:v>
                </c:pt>
              </c:strCache>
            </c:strRef>
          </c:cat>
          <c:val>
            <c:numRef>
              <c:f>'PIVOT TABLE'!$R$257:$R$259</c:f>
              <c:numCache>
                <c:formatCode>General</c:formatCode>
                <c:ptCount val="2"/>
                <c:pt idx="0">
                  <c:v>31</c:v>
                </c:pt>
                <c:pt idx="1">
                  <c:v>30</c:v>
                </c:pt>
              </c:numCache>
            </c:numRef>
          </c:val>
          <c:extLst>
            <c:ext xmlns:c16="http://schemas.microsoft.com/office/drawing/2014/chart" uri="{C3380CC4-5D6E-409C-BE32-E72D297353CC}">
              <c16:uniqueId val="{00000004-A4D0-4C27-822C-1BE3E9CD4FBD}"/>
            </c:ext>
          </c:extLst>
        </c:ser>
        <c:dLbls>
          <c:showLegendKey val="0"/>
          <c:showVal val="0"/>
          <c:showCatName val="0"/>
          <c:showSerName val="0"/>
          <c:showPercent val="1"/>
          <c:showBubbleSize val="0"/>
          <c:showLeaderLines val="1"/>
        </c:dLbls>
        <c:firstSliceAng val="180"/>
        <c:holeSize val="6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TABLE!PivotTable19</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DIRE</a:t>
            </a:r>
            <a:r>
              <a:rPr lang="en-IN" sz="2400" b="1" baseline="0">
                <a:solidFill>
                  <a:schemeClr val="tx1"/>
                </a:solidFill>
              </a:rPr>
              <a:t>CTION WISE STOCKS PERFORMANCE </a:t>
            </a:r>
            <a:endParaRPr lang="en-IN" sz="24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TABLE'!$U$256:$U$257</c:f>
              <c:strCache>
                <c:ptCount val="1"/>
                <c:pt idx="0">
                  <c:v>W</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TABLE'!$T$258:$T$268</c:f>
              <c:strCache>
                <c:ptCount val="10"/>
                <c:pt idx="0">
                  <c:v>INFY</c:v>
                </c:pt>
                <c:pt idx="1">
                  <c:v>TATA MOTORS</c:v>
                </c:pt>
                <c:pt idx="2">
                  <c:v>RELIANCE</c:v>
                </c:pt>
                <c:pt idx="3">
                  <c:v>Infosys</c:v>
                </c:pt>
                <c:pt idx="4">
                  <c:v>MARUTI</c:v>
                </c:pt>
                <c:pt idx="5">
                  <c:v>HDFC BANK</c:v>
                </c:pt>
                <c:pt idx="6">
                  <c:v>SBI</c:v>
                </c:pt>
                <c:pt idx="7">
                  <c:v>Wipro</c:v>
                </c:pt>
                <c:pt idx="8">
                  <c:v>HDFC</c:v>
                </c:pt>
                <c:pt idx="9">
                  <c:v>TCS</c:v>
                </c:pt>
              </c:strCache>
            </c:strRef>
          </c:cat>
          <c:val>
            <c:numRef>
              <c:f>'PIVOT TABLE'!$U$258:$U$268</c:f>
              <c:numCache>
                <c:formatCode>General</c:formatCode>
                <c:ptCount val="10"/>
                <c:pt idx="0">
                  <c:v>1</c:v>
                </c:pt>
                <c:pt idx="1">
                  <c:v>1</c:v>
                </c:pt>
                <c:pt idx="2">
                  <c:v>2</c:v>
                </c:pt>
                <c:pt idx="3">
                  <c:v>2</c:v>
                </c:pt>
                <c:pt idx="4">
                  <c:v>3</c:v>
                </c:pt>
                <c:pt idx="5">
                  <c:v>3</c:v>
                </c:pt>
                <c:pt idx="6">
                  <c:v>4</c:v>
                </c:pt>
                <c:pt idx="7">
                  <c:v>4</c:v>
                </c:pt>
                <c:pt idx="8">
                  <c:v>4</c:v>
                </c:pt>
                <c:pt idx="9">
                  <c:v>6</c:v>
                </c:pt>
              </c:numCache>
            </c:numRef>
          </c:val>
          <c:extLst>
            <c:ext xmlns:c16="http://schemas.microsoft.com/office/drawing/2014/chart" uri="{C3380CC4-5D6E-409C-BE32-E72D297353CC}">
              <c16:uniqueId val="{00000000-0DA2-4EFA-BF8A-1AE5D92E8201}"/>
            </c:ext>
          </c:extLst>
        </c:ser>
        <c:dLbls>
          <c:dLblPos val="outEnd"/>
          <c:showLegendKey val="0"/>
          <c:showVal val="1"/>
          <c:showCatName val="0"/>
          <c:showSerName val="0"/>
          <c:showPercent val="0"/>
          <c:showBubbleSize val="0"/>
        </c:dLbls>
        <c:gapWidth val="182"/>
        <c:axId val="439424656"/>
        <c:axId val="439412656"/>
      </c:barChart>
      <c:catAx>
        <c:axId val="43942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439412656"/>
        <c:crosses val="autoZero"/>
        <c:auto val="1"/>
        <c:lblAlgn val="ctr"/>
        <c:lblOffset val="100"/>
        <c:noMultiLvlLbl val="0"/>
      </c:catAx>
      <c:valAx>
        <c:axId val="439412656"/>
        <c:scaling>
          <c:orientation val="minMax"/>
        </c:scaling>
        <c:delete val="1"/>
        <c:axPos val="b"/>
        <c:numFmt formatCode="General" sourceLinked="1"/>
        <c:majorTickMark val="none"/>
        <c:minorTickMark val="none"/>
        <c:tickLblPos val="nextTo"/>
        <c:crossAx val="43942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TABLE!PivotTable18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IN" sz="2400" b="1" i="0" u="none" strike="noStrike" kern="1200" spc="0" baseline="0">
                <a:solidFill>
                  <a:schemeClr val="tx1"/>
                </a:solidFill>
              </a:rPr>
              <a:t>DIRECTION WISE STOCKS PERFORMANCE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TABLE'!$M$256:$M$257</c:f>
              <c:strCache>
                <c:ptCount val="1"/>
                <c:pt idx="0">
                  <c:v>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TABLE'!$L$258:$L$266</c:f>
              <c:strCache>
                <c:ptCount val="8"/>
                <c:pt idx="0">
                  <c:v>HDFC BANK</c:v>
                </c:pt>
                <c:pt idx="1">
                  <c:v>Wipro</c:v>
                </c:pt>
                <c:pt idx="2">
                  <c:v>RELIANCE</c:v>
                </c:pt>
                <c:pt idx="3">
                  <c:v>TATA MOTORS</c:v>
                </c:pt>
                <c:pt idx="4">
                  <c:v>HDFC</c:v>
                </c:pt>
                <c:pt idx="5">
                  <c:v>SBI</c:v>
                </c:pt>
                <c:pt idx="6">
                  <c:v>Infosys</c:v>
                </c:pt>
                <c:pt idx="7">
                  <c:v>TCS</c:v>
                </c:pt>
              </c:strCache>
            </c:strRef>
          </c:cat>
          <c:val>
            <c:numRef>
              <c:f>'PIVOT TABLE'!$M$258:$M$266</c:f>
              <c:numCache>
                <c:formatCode>General</c:formatCode>
                <c:ptCount val="8"/>
                <c:pt idx="0">
                  <c:v>1</c:v>
                </c:pt>
                <c:pt idx="1">
                  <c:v>2</c:v>
                </c:pt>
                <c:pt idx="2">
                  <c:v>3</c:v>
                </c:pt>
                <c:pt idx="3">
                  <c:v>3</c:v>
                </c:pt>
                <c:pt idx="4">
                  <c:v>4</c:v>
                </c:pt>
                <c:pt idx="5">
                  <c:v>5</c:v>
                </c:pt>
                <c:pt idx="6">
                  <c:v>6</c:v>
                </c:pt>
                <c:pt idx="7">
                  <c:v>7</c:v>
                </c:pt>
              </c:numCache>
            </c:numRef>
          </c:val>
          <c:extLst>
            <c:ext xmlns:c16="http://schemas.microsoft.com/office/drawing/2014/chart" uri="{C3380CC4-5D6E-409C-BE32-E72D297353CC}">
              <c16:uniqueId val="{00000000-EF07-4258-8E6C-9167DEBCC1F0}"/>
            </c:ext>
          </c:extLst>
        </c:ser>
        <c:dLbls>
          <c:dLblPos val="outEnd"/>
          <c:showLegendKey val="0"/>
          <c:showVal val="1"/>
          <c:showCatName val="0"/>
          <c:showSerName val="0"/>
          <c:showPercent val="0"/>
          <c:showBubbleSize val="0"/>
        </c:dLbls>
        <c:gapWidth val="182"/>
        <c:axId val="481133168"/>
        <c:axId val="481132688"/>
      </c:barChart>
      <c:catAx>
        <c:axId val="48113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crossAx val="481132688"/>
        <c:crosses val="autoZero"/>
        <c:auto val="1"/>
        <c:lblAlgn val="ctr"/>
        <c:lblOffset val="100"/>
        <c:noMultiLvlLbl val="0"/>
      </c:catAx>
      <c:valAx>
        <c:axId val="481132688"/>
        <c:scaling>
          <c:orientation val="minMax"/>
        </c:scaling>
        <c:delete val="1"/>
        <c:axPos val="b"/>
        <c:numFmt formatCode="General" sourceLinked="1"/>
        <c:majorTickMark val="none"/>
        <c:minorTickMark val="none"/>
        <c:tickLblPos val="nextTo"/>
        <c:crossAx val="48113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TABLE!PivotTable9</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STRATEGY</a:t>
            </a:r>
            <a:r>
              <a:rPr lang="en-IN" sz="2400" b="1" baseline="0">
                <a:solidFill>
                  <a:schemeClr val="tx1"/>
                </a:solidFill>
              </a:rPr>
              <a:t> WISE PROFIT N LOSS</a:t>
            </a:r>
            <a:endParaRPr lang="en-IN" sz="24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numFmt formatCode="&quot;₹&quot;\ #,##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TABLE'!$H$93:$H$94</c:f>
              <c:strCache>
                <c:ptCount val="1"/>
                <c:pt idx="0">
                  <c:v>L</c:v>
                </c:pt>
              </c:strCache>
            </c:strRef>
          </c:tx>
          <c:spPr>
            <a:solidFill>
              <a:schemeClr val="tx2">
                <a:lumMod val="50000"/>
                <a:lumOff val="50000"/>
              </a:schemeClr>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TABLE'!$G$95:$G$96</c:f>
              <c:strCache>
                <c:ptCount val="1"/>
                <c:pt idx="0">
                  <c:v>Reversal</c:v>
                </c:pt>
              </c:strCache>
            </c:strRef>
          </c:cat>
          <c:val>
            <c:numRef>
              <c:f>'PIVOT TABLE'!$H$95:$H$96</c:f>
              <c:numCache>
                <c:formatCode>General</c:formatCode>
                <c:ptCount val="1"/>
                <c:pt idx="0">
                  <c:v>3555</c:v>
                </c:pt>
              </c:numCache>
            </c:numRef>
          </c:val>
          <c:extLst>
            <c:ext xmlns:c16="http://schemas.microsoft.com/office/drawing/2014/chart" uri="{C3380CC4-5D6E-409C-BE32-E72D297353CC}">
              <c16:uniqueId val="{00000000-F2C8-4A8F-A54D-44E7D5317415}"/>
            </c:ext>
          </c:extLst>
        </c:ser>
        <c:ser>
          <c:idx val="1"/>
          <c:order val="1"/>
          <c:tx>
            <c:strRef>
              <c:f>'PIVOT TABLE'!$I$93:$I$94</c:f>
              <c:strCache>
                <c:ptCount val="1"/>
                <c:pt idx="0">
                  <c:v>W</c:v>
                </c:pt>
              </c:strCache>
            </c:strRef>
          </c:tx>
          <c:spPr>
            <a:solidFill>
              <a:schemeClr val="accent6">
                <a:lumMod val="60000"/>
                <a:lumOff val="40000"/>
              </a:schemeClr>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TABLE'!$G$95:$G$96</c:f>
              <c:strCache>
                <c:ptCount val="1"/>
                <c:pt idx="0">
                  <c:v>Reversal</c:v>
                </c:pt>
              </c:strCache>
            </c:strRef>
          </c:cat>
          <c:val>
            <c:numRef>
              <c:f>'PIVOT TABLE'!$I$95:$I$96</c:f>
              <c:numCache>
                <c:formatCode>General</c:formatCode>
                <c:ptCount val="1"/>
                <c:pt idx="0">
                  <c:v>2970</c:v>
                </c:pt>
              </c:numCache>
            </c:numRef>
          </c:val>
          <c:extLst>
            <c:ext xmlns:c16="http://schemas.microsoft.com/office/drawing/2014/chart" uri="{C3380CC4-5D6E-409C-BE32-E72D297353CC}">
              <c16:uniqueId val="{00000001-6AB7-48AC-9AFA-8BEA509CBDCE}"/>
            </c:ext>
          </c:extLst>
        </c:ser>
        <c:dLbls>
          <c:showLegendKey val="0"/>
          <c:showVal val="0"/>
          <c:showCatName val="0"/>
          <c:showSerName val="0"/>
          <c:showPercent val="0"/>
          <c:showBubbleSize val="0"/>
        </c:dLbls>
        <c:gapWidth val="219"/>
        <c:overlap val="-27"/>
        <c:axId val="1523402015"/>
        <c:axId val="1523398655"/>
      </c:barChart>
      <c:catAx>
        <c:axId val="152340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23398655"/>
        <c:crosses val="autoZero"/>
        <c:auto val="1"/>
        <c:lblAlgn val="ctr"/>
        <c:lblOffset val="100"/>
        <c:noMultiLvlLbl val="0"/>
      </c:catAx>
      <c:valAx>
        <c:axId val="1523398655"/>
        <c:scaling>
          <c:orientation val="minMax"/>
        </c:scaling>
        <c:delete val="1"/>
        <c:axPos val="l"/>
        <c:numFmt formatCode="General" sourceLinked="1"/>
        <c:majorTickMark val="none"/>
        <c:minorTickMark val="none"/>
        <c:tickLblPos val="nextTo"/>
        <c:crossAx val="1523402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TABLE!PivotTable12</c:name>
    <c:fmtId val="4"/>
  </c:pivotSource>
  <c:chart>
    <c:title>
      <c:tx>
        <c:rich>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r>
              <a:rPr lang="en-US" sz="2400">
                <a:solidFill>
                  <a:schemeClr val="tx1"/>
                </a:solidFill>
              </a:rPr>
              <a:t>STRATEGY</a:t>
            </a:r>
            <a:r>
              <a:rPr lang="en-US" sz="2400" baseline="0">
                <a:solidFill>
                  <a:schemeClr val="tx1"/>
                </a:solidFill>
              </a:rPr>
              <a:t> WISE WINNING PERCENTAGE</a:t>
            </a:r>
            <a:endParaRPr lang="en-US" sz="2400">
              <a:solidFill>
                <a:schemeClr val="tx1"/>
              </a:solidFill>
            </a:endParaRP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6">
              <a:lumMod val="60000"/>
              <a:lumOff val="4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317500" algn="ctr" rotWithShape="0">
              <a:prstClr val="black">
                <a:alpha val="25000"/>
              </a:prstClr>
            </a:outerShdw>
          </a:effectLst>
        </c:spPr>
      </c:pivotFmt>
      <c:pivotFmt>
        <c:idx val="6"/>
        <c:spPr>
          <a:solidFill>
            <a:schemeClr val="accent6">
              <a:lumMod val="60000"/>
              <a:lumOff val="40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a:outerShdw blurRad="317500" algn="ctr" rotWithShape="0">
              <a:prstClr val="black">
                <a:alpha val="25000"/>
              </a:prstClr>
            </a:outerShdw>
          </a:effectLst>
        </c:spPr>
      </c:pivotFmt>
      <c:pivotFmt>
        <c:idx val="11"/>
        <c:spPr>
          <a:solidFill>
            <a:schemeClr val="tx2">
              <a:lumMod val="50000"/>
              <a:lumOff val="50000"/>
            </a:schemeClr>
          </a:solidFill>
          <a:ln>
            <a:noFill/>
          </a:ln>
          <a:effectLst>
            <a:outerShdw blurRad="317500" algn="ctr" rotWithShape="0">
              <a:prstClr val="black">
                <a:alpha val="25000"/>
              </a:prstClr>
            </a:outerShdw>
          </a:effectLst>
        </c:spPr>
      </c:pivotFmt>
      <c:pivotFmt>
        <c:idx val="12"/>
        <c:spPr>
          <a:solidFill>
            <a:schemeClr val="accent6">
              <a:lumMod val="60000"/>
              <a:lumOff val="40000"/>
            </a:schemeClr>
          </a:solidFill>
          <a:ln>
            <a:noFill/>
          </a:ln>
          <a:effectLst>
            <a:outerShdw blurRad="317500" algn="ctr" rotWithShape="0">
              <a:prstClr val="black">
                <a:alpha val="25000"/>
              </a:prstClr>
            </a:outerShdw>
          </a:effectLst>
        </c:spPr>
      </c:pivotFmt>
      <c:pivotFmt>
        <c:idx val="13"/>
        <c:spPr>
          <a:solidFill>
            <a:schemeClr val="tx2">
              <a:lumMod val="50000"/>
              <a:lumOff val="5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TABLE'!$R$93</c:f>
              <c:strCache>
                <c:ptCount val="1"/>
                <c:pt idx="0">
                  <c:v>Total</c:v>
                </c:pt>
              </c:strCache>
            </c:strRef>
          </c:tx>
          <c:spPr>
            <a:solidFill>
              <a:schemeClr val="tx2">
                <a:lumMod val="50000"/>
                <a:lumOff val="50000"/>
              </a:schemeClr>
            </a:solidFill>
          </c:spPr>
          <c:dPt>
            <c:idx val="0"/>
            <c:bubble3D val="0"/>
            <c:spPr>
              <a:solidFill>
                <a:schemeClr val="tx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A2-4112-BFF0-42DB975A0EDD}"/>
              </c:ext>
            </c:extLst>
          </c:dPt>
          <c:dPt>
            <c:idx val="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A2-4112-BFF0-42DB975A0EDD}"/>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TABLE'!$Q$94:$Q$96</c:f>
              <c:strCache>
                <c:ptCount val="2"/>
                <c:pt idx="0">
                  <c:v>L</c:v>
                </c:pt>
                <c:pt idx="1">
                  <c:v>W</c:v>
                </c:pt>
              </c:strCache>
            </c:strRef>
          </c:cat>
          <c:val>
            <c:numRef>
              <c:f>'PIVOT TABLE'!$R$94:$R$96</c:f>
              <c:numCache>
                <c:formatCode>General</c:formatCode>
                <c:ptCount val="2"/>
                <c:pt idx="0">
                  <c:v>22</c:v>
                </c:pt>
                <c:pt idx="1">
                  <c:v>16</c:v>
                </c:pt>
              </c:numCache>
            </c:numRef>
          </c:val>
          <c:extLst>
            <c:ext xmlns:c16="http://schemas.microsoft.com/office/drawing/2014/chart" uri="{C3380CC4-5D6E-409C-BE32-E72D297353CC}">
              <c16:uniqueId val="{00000004-6EA2-4112-BFF0-42DB975A0EDD}"/>
            </c:ext>
          </c:extLst>
        </c:ser>
        <c:dLbls>
          <c:showLegendKey val="0"/>
          <c:showVal val="0"/>
          <c:showCatName val="0"/>
          <c:showSerName val="0"/>
          <c:showPercent val="1"/>
          <c:showBubbleSize val="0"/>
          <c:showLeaderLines val="1"/>
        </c:dLbls>
        <c:firstSliceAng val="192"/>
        <c:holeSize val="6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TABLE!PivotTable17</c:name>
    <c:fmtId val="3"/>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IN" sz="2400" b="1">
                <a:solidFill>
                  <a:schemeClr val="tx1"/>
                </a:solidFill>
              </a:rPr>
              <a:t>STRATEGY</a:t>
            </a:r>
            <a:r>
              <a:rPr lang="en-IN" sz="2400" b="1" baseline="0">
                <a:solidFill>
                  <a:schemeClr val="tx1"/>
                </a:solidFill>
              </a:rPr>
              <a:t> WISE  STOCKS PERFORMANCE </a:t>
            </a:r>
            <a:r>
              <a:rPr lang="en-IN" sz="2400" b="1">
                <a:solidFill>
                  <a:schemeClr val="tx1"/>
                </a:solidFill>
              </a:rPr>
              <a:t> </a:t>
            </a: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TABLE'!$U$93:$U$94</c:f>
              <c:strCache>
                <c:ptCount val="1"/>
                <c:pt idx="0">
                  <c:v>W</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TABLE'!$T$95:$T$103</c:f>
              <c:strCache>
                <c:ptCount val="8"/>
                <c:pt idx="0">
                  <c:v>RELIANCE</c:v>
                </c:pt>
                <c:pt idx="1">
                  <c:v>MARUTI</c:v>
                </c:pt>
                <c:pt idx="2">
                  <c:v>SBI</c:v>
                </c:pt>
                <c:pt idx="3">
                  <c:v>HDFC</c:v>
                </c:pt>
                <c:pt idx="4">
                  <c:v>Infosys</c:v>
                </c:pt>
                <c:pt idx="5">
                  <c:v>Wipro</c:v>
                </c:pt>
                <c:pt idx="6">
                  <c:v>TCS</c:v>
                </c:pt>
                <c:pt idx="7">
                  <c:v>HDFC BANK</c:v>
                </c:pt>
              </c:strCache>
            </c:strRef>
          </c:cat>
          <c:val>
            <c:numRef>
              <c:f>'PIVOT TABLE'!$U$95:$U$103</c:f>
              <c:numCache>
                <c:formatCode>General</c:formatCode>
                <c:ptCount val="8"/>
                <c:pt idx="0">
                  <c:v>1</c:v>
                </c:pt>
                <c:pt idx="1">
                  <c:v>1</c:v>
                </c:pt>
                <c:pt idx="2">
                  <c:v>1</c:v>
                </c:pt>
                <c:pt idx="3">
                  <c:v>2</c:v>
                </c:pt>
                <c:pt idx="4">
                  <c:v>2</c:v>
                </c:pt>
                <c:pt idx="5">
                  <c:v>2</c:v>
                </c:pt>
                <c:pt idx="6">
                  <c:v>3</c:v>
                </c:pt>
                <c:pt idx="7">
                  <c:v>4</c:v>
                </c:pt>
              </c:numCache>
            </c:numRef>
          </c:val>
          <c:extLst>
            <c:ext xmlns:c16="http://schemas.microsoft.com/office/drawing/2014/chart" uri="{C3380CC4-5D6E-409C-BE32-E72D297353CC}">
              <c16:uniqueId val="{00000000-3799-439E-9604-C6C1CAF91AE0}"/>
            </c:ext>
          </c:extLst>
        </c:ser>
        <c:dLbls>
          <c:dLblPos val="outEnd"/>
          <c:showLegendKey val="0"/>
          <c:showVal val="1"/>
          <c:showCatName val="0"/>
          <c:showSerName val="0"/>
          <c:showPercent val="0"/>
          <c:showBubbleSize val="0"/>
        </c:dLbls>
        <c:gapWidth val="182"/>
        <c:axId val="182118048"/>
        <c:axId val="182108928"/>
      </c:barChart>
      <c:catAx>
        <c:axId val="18211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2108928"/>
        <c:crosses val="autoZero"/>
        <c:auto val="1"/>
        <c:lblAlgn val="ctr"/>
        <c:lblOffset val="100"/>
        <c:noMultiLvlLbl val="0"/>
      </c:catAx>
      <c:valAx>
        <c:axId val="182108928"/>
        <c:scaling>
          <c:orientation val="minMax"/>
        </c:scaling>
        <c:delete val="1"/>
        <c:axPos val="b"/>
        <c:numFmt formatCode="General" sourceLinked="1"/>
        <c:majorTickMark val="none"/>
        <c:minorTickMark val="none"/>
        <c:tickLblPos val="nextTo"/>
        <c:crossAx val="18211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TABLE!PivotTable36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2400" b="1" i="0" u="none" strike="noStrike" kern="1200" spc="0" baseline="0">
                <a:solidFill>
                  <a:schemeClr val="tx1"/>
                </a:solidFill>
              </a:rPr>
              <a:t>STRATEGY WISE  STOCKS PERFORMANCE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TABLE'!$M$93:$M$94</c:f>
              <c:strCache>
                <c:ptCount val="1"/>
                <c:pt idx="0">
                  <c:v>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TABLE'!$L$95:$L$104</c:f>
              <c:strCache>
                <c:ptCount val="9"/>
                <c:pt idx="0">
                  <c:v>SBI</c:v>
                </c:pt>
                <c:pt idx="1">
                  <c:v>INFY</c:v>
                </c:pt>
                <c:pt idx="2">
                  <c:v>HDFC BANK</c:v>
                </c:pt>
                <c:pt idx="3">
                  <c:v>Infosys</c:v>
                </c:pt>
                <c:pt idx="4">
                  <c:v>Wipro</c:v>
                </c:pt>
                <c:pt idx="5">
                  <c:v>TATA MOTORS</c:v>
                </c:pt>
                <c:pt idx="6">
                  <c:v>RELIANCE</c:v>
                </c:pt>
                <c:pt idx="7">
                  <c:v>HDFC</c:v>
                </c:pt>
                <c:pt idx="8">
                  <c:v>TCS</c:v>
                </c:pt>
              </c:strCache>
            </c:strRef>
          </c:cat>
          <c:val>
            <c:numRef>
              <c:f>'PIVOT TABLE'!$M$95:$M$104</c:f>
              <c:numCache>
                <c:formatCode>General</c:formatCode>
                <c:ptCount val="9"/>
                <c:pt idx="0">
                  <c:v>1</c:v>
                </c:pt>
                <c:pt idx="1">
                  <c:v>1</c:v>
                </c:pt>
                <c:pt idx="2">
                  <c:v>2</c:v>
                </c:pt>
                <c:pt idx="3">
                  <c:v>2</c:v>
                </c:pt>
                <c:pt idx="4">
                  <c:v>2</c:v>
                </c:pt>
                <c:pt idx="5">
                  <c:v>2</c:v>
                </c:pt>
                <c:pt idx="6">
                  <c:v>3</c:v>
                </c:pt>
                <c:pt idx="7">
                  <c:v>4</c:v>
                </c:pt>
                <c:pt idx="8">
                  <c:v>5</c:v>
                </c:pt>
              </c:numCache>
            </c:numRef>
          </c:val>
          <c:extLst>
            <c:ext xmlns:c16="http://schemas.microsoft.com/office/drawing/2014/chart" uri="{C3380CC4-5D6E-409C-BE32-E72D297353CC}">
              <c16:uniqueId val="{00000000-54D9-4B4F-8F0F-6941DC9EF0B5}"/>
            </c:ext>
          </c:extLst>
        </c:ser>
        <c:dLbls>
          <c:dLblPos val="outEnd"/>
          <c:showLegendKey val="0"/>
          <c:showVal val="1"/>
          <c:showCatName val="0"/>
          <c:showSerName val="0"/>
          <c:showPercent val="0"/>
          <c:showBubbleSize val="0"/>
        </c:dLbls>
        <c:gapWidth val="182"/>
        <c:axId val="540744416"/>
        <c:axId val="540765536"/>
      </c:barChart>
      <c:catAx>
        <c:axId val="54074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40765536"/>
        <c:crosses val="autoZero"/>
        <c:auto val="1"/>
        <c:lblAlgn val="ctr"/>
        <c:lblOffset val="100"/>
        <c:noMultiLvlLbl val="0"/>
      </c:catAx>
      <c:valAx>
        <c:axId val="540765536"/>
        <c:scaling>
          <c:orientation val="minMax"/>
        </c:scaling>
        <c:delete val="1"/>
        <c:axPos val="b"/>
        <c:numFmt formatCode="General" sourceLinked="1"/>
        <c:majorTickMark val="none"/>
        <c:minorTickMark val="none"/>
        <c:tickLblPos val="nextTo"/>
        <c:crossAx val="540744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TABLE!PivotTable23</c:name>
    <c:fmtId val="4"/>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IN" sz="2400" b="1">
                <a:solidFill>
                  <a:schemeClr val="tx1"/>
                </a:solidFill>
              </a:rPr>
              <a:t>DAYS</a:t>
            </a:r>
            <a:r>
              <a:rPr lang="en-IN" sz="2400" b="1" baseline="0">
                <a:solidFill>
                  <a:schemeClr val="tx1"/>
                </a:solidFill>
              </a:rPr>
              <a:t> WISE PROFIT N LOSS</a:t>
            </a:r>
            <a:endParaRPr lang="en-IN" sz="2400" b="1">
              <a:solidFill>
                <a:schemeClr val="tx1"/>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TABLE'!$H$159:$H$160</c:f>
              <c:strCache>
                <c:ptCount val="1"/>
                <c:pt idx="0">
                  <c:v>L</c:v>
                </c:pt>
              </c:strCache>
            </c:strRef>
          </c:tx>
          <c:spPr>
            <a:solidFill>
              <a:schemeClr val="tx2">
                <a:lumMod val="50000"/>
                <a:lumOff val="50000"/>
              </a:schemeClr>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TABLE'!$G$161:$G$162</c:f>
              <c:strCache>
                <c:ptCount val="1"/>
                <c:pt idx="0">
                  <c:v>TUESDAY</c:v>
                </c:pt>
              </c:strCache>
            </c:strRef>
          </c:cat>
          <c:val>
            <c:numRef>
              <c:f>'PIVOT TABLE'!$H$161:$H$162</c:f>
              <c:numCache>
                <c:formatCode>General</c:formatCode>
                <c:ptCount val="1"/>
                <c:pt idx="0">
                  <c:v>1510</c:v>
                </c:pt>
              </c:numCache>
            </c:numRef>
          </c:val>
          <c:extLst>
            <c:ext xmlns:c16="http://schemas.microsoft.com/office/drawing/2014/chart" uri="{C3380CC4-5D6E-409C-BE32-E72D297353CC}">
              <c16:uniqueId val="{00000000-98C9-4492-9491-2EF40DB415B4}"/>
            </c:ext>
          </c:extLst>
        </c:ser>
        <c:ser>
          <c:idx val="1"/>
          <c:order val="1"/>
          <c:tx>
            <c:strRef>
              <c:f>'PIVOT TABLE'!$I$159:$I$160</c:f>
              <c:strCache>
                <c:ptCount val="1"/>
                <c:pt idx="0">
                  <c:v>W</c:v>
                </c:pt>
              </c:strCache>
            </c:strRef>
          </c:tx>
          <c:spPr>
            <a:solidFill>
              <a:schemeClr val="accent6">
                <a:lumMod val="60000"/>
                <a:lumOff val="40000"/>
              </a:schemeClr>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TABLE'!$G$161:$G$162</c:f>
              <c:strCache>
                <c:ptCount val="1"/>
                <c:pt idx="0">
                  <c:v>TUESDAY</c:v>
                </c:pt>
              </c:strCache>
            </c:strRef>
          </c:cat>
          <c:val>
            <c:numRef>
              <c:f>'PIVOT TABLE'!$I$161:$I$162</c:f>
              <c:numCache>
                <c:formatCode>General</c:formatCode>
                <c:ptCount val="1"/>
                <c:pt idx="0">
                  <c:v>2200</c:v>
                </c:pt>
              </c:numCache>
            </c:numRef>
          </c:val>
          <c:extLst>
            <c:ext xmlns:c16="http://schemas.microsoft.com/office/drawing/2014/chart" uri="{C3380CC4-5D6E-409C-BE32-E72D297353CC}">
              <c16:uniqueId val="{00000002-AD68-4DC3-A878-05617A0E46CC}"/>
            </c:ext>
          </c:extLst>
        </c:ser>
        <c:dLbls>
          <c:dLblPos val="inBase"/>
          <c:showLegendKey val="0"/>
          <c:showVal val="1"/>
          <c:showCatName val="0"/>
          <c:showSerName val="0"/>
          <c:showPercent val="0"/>
          <c:showBubbleSize val="0"/>
        </c:dLbls>
        <c:gapWidth val="219"/>
        <c:overlap val="-27"/>
        <c:axId val="982901039"/>
        <c:axId val="982904879"/>
      </c:barChart>
      <c:catAx>
        <c:axId val="9829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82904879"/>
        <c:crosses val="autoZero"/>
        <c:auto val="1"/>
        <c:lblAlgn val="ctr"/>
        <c:lblOffset val="100"/>
        <c:noMultiLvlLbl val="0"/>
      </c:catAx>
      <c:valAx>
        <c:axId val="982904879"/>
        <c:scaling>
          <c:orientation val="minMax"/>
        </c:scaling>
        <c:delete val="1"/>
        <c:axPos val="l"/>
        <c:numFmt formatCode="General" sourceLinked="1"/>
        <c:majorTickMark val="none"/>
        <c:minorTickMark val="none"/>
        <c:tickLblPos val="nextTo"/>
        <c:crossAx val="982901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TABLE!PivotTable26</c:name>
    <c:fmtId val="3"/>
  </c:pivotSource>
  <c:chart>
    <c:title>
      <c:tx>
        <c:rich>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r>
              <a:rPr lang="en-US" sz="2400" b="1">
                <a:solidFill>
                  <a:schemeClr val="tx1"/>
                </a:solidFill>
              </a:rPr>
              <a:t>DAYS</a:t>
            </a:r>
            <a:r>
              <a:rPr lang="en-US" sz="2400" b="1" baseline="0">
                <a:solidFill>
                  <a:schemeClr val="tx1"/>
                </a:solidFill>
              </a:rPr>
              <a:t> WISE WINNING PERCENTAGE</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tx2">
              <a:lumMod val="50000"/>
              <a:lumOff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317500" algn="ctr" rotWithShape="0">
              <a:prstClr val="black">
                <a:alpha val="25000"/>
              </a:prstClr>
            </a:outerShdw>
          </a:effectLst>
        </c:spPr>
      </c:pivotFmt>
      <c:pivotFmt>
        <c:idx val="6"/>
        <c:spPr>
          <a:solidFill>
            <a:schemeClr val="accent6">
              <a:lumMod val="60000"/>
              <a:lumOff val="4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TABLE'!$W$159</c:f>
              <c:strCache>
                <c:ptCount val="1"/>
                <c:pt idx="0">
                  <c:v>Total</c:v>
                </c:pt>
              </c:strCache>
            </c:strRef>
          </c:tx>
          <c:spPr>
            <a:solidFill>
              <a:schemeClr val="tx2">
                <a:lumMod val="50000"/>
                <a:lumOff val="50000"/>
              </a:schemeClr>
            </a:solidFill>
          </c:spPr>
          <c:dPt>
            <c:idx val="0"/>
            <c:bubble3D val="0"/>
            <c:spPr>
              <a:solidFill>
                <a:schemeClr val="tx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7B-4CF5-9D5B-A8ADABE1ECBE}"/>
              </c:ext>
            </c:extLst>
          </c:dPt>
          <c:dPt>
            <c:idx val="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7B-4CF5-9D5B-A8ADABE1ECBE}"/>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TABLE'!$V$160:$V$162</c:f>
              <c:strCache>
                <c:ptCount val="2"/>
                <c:pt idx="0">
                  <c:v>L</c:v>
                </c:pt>
                <c:pt idx="1">
                  <c:v>W</c:v>
                </c:pt>
              </c:strCache>
            </c:strRef>
          </c:cat>
          <c:val>
            <c:numRef>
              <c:f>'PIVOT TABLE'!$W$160:$W$162</c:f>
              <c:numCache>
                <c:formatCode>General</c:formatCode>
                <c:ptCount val="2"/>
                <c:pt idx="0">
                  <c:v>9</c:v>
                </c:pt>
                <c:pt idx="1">
                  <c:v>13</c:v>
                </c:pt>
              </c:numCache>
            </c:numRef>
          </c:val>
          <c:extLst>
            <c:ext xmlns:c16="http://schemas.microsoft.com/office/drawing/2014/chart" uri="{C3380CC4-5D6E-409C-BE32-E72D297353CC}">
              <c16:uniqueId val="{00000004-277B-4CF5-9D5B-A8ADABE1ECBE}"/>
            </c:ext>
          </c:extLst>
        </c:ser>
        <c:dLbls>
          <c:showLegendKey val="0"/>
          <c:showVal val="0"/>
          <c:showCatName val="0"/>
          <c:showSerName val="0"/>
          <c:showPercent val="1"/>
          <c:showBubbleSize val="0"/>
          <c:showLeaderLines val="1"/>
        </c:dLbls>
        <c:firstSliceAng val="180"/>
        <c:holeSize val="6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TABLE!PivotTable27</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DAYS</a:t>
            </a:r>
            <a:r>
              <a:rPr lang="en-IN" sz="2400" b="1" baseline="0">
                <a:solidFill>
                  <a:schemeClr val="tx1"/>
                </a:solidFill>
              </a:rPr>
              <a:t> WISE STOCK PERFORMANCE</a:t>
            </a:r>
            <a:endParaRPr lang="en-IN" sz="24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TABLE'!$M$159:$M$160</c:f>
              <c:strCache>
                <c:ptCount val="1"/>
                <c:pt idx="0">
                  <c:v>W</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TABLE'!$L$161:$L$164</c:f>
              <c:strCache>
                <c:ptCount val="3"/>
                <c:pt idx="0">
                  <c:v>RELIANCE</c:v>
                </c:pt>
                <c:pt idx="1">
                  <c:v>INFY</c:v>
                </c:pt>
                <c:pt idx="2">
                  <c:v>SBI</c:v>
                </c:pt>
              </c:strCache>
            </c:strRef>
          </c:cat>
          <c:val>
            <c:numRef>
              <c:f>'PIVOT TABLE'!$M$161:$M$164</c:f>
              <c:numCache>
                <c:formatCode>General</c:formatCode>
                <c:ptCount val="3"/>
                <c:pt idx="0">
                  <c:v>1</c:v>
                </c:pt>
                <c:pt idx="1">
                  <c:v>2</c:v>
                </c:pt>
                <c:pt idx="2">
                  <c:v>10</c:v>
                </c:pt>
              </c:numCache>
            </c:numRef>
          </c:val>
          <c:extLst>
            <c:ext xmlns:c16="http://schemas.microsoft.com/office/drawing/2014/chart" uri="{C3380CC4-5D6E-409C-BE32-E72D297353CC}">
              <c16:uniqueId val="{00000000-2EF1-493F-97CA-11C0B9B4C5A7}"/>
            </c:ext>
          </c:extLst>
        </c:ser>
        <c:dLbls>
          <c:showLegendKey val="0"/>
          <c:showVal val="0"/>
          <c:showCatName val="0"/>
          <c:showSerName val="0"/>
          <c:showPercent val="0"/>
          <c:showBubbleSize val="0"/>
        </c:dLbls>
        <c:gapWidth val="182"/>
        <c:axId val="1038467263"/>
        <c:axId val="1038465823"/>
      </c:barChart>
      <c:catAx>
        <c:axId val="103846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38465823"/>
        <c:crosses val="autoZero"/>
        <c:auto val="1"/>
        <c:lblAlgn val="ctr"/>
        <c:lblOffset val="100"/>
        <c:noMultiLvlLbl val="0"/>
      </c:catAx>
      <c:valAx>
        <c:axId val="1038465823"/>
        <c:scaling>
          <c:orientation val="minMax"/>
        </c:scaling>
        <c:delete val="1"/>
        <c:axPos val="b"/>
        <c:numFmt formatCode="General" sourceLinked="1"/>
        <c:majorTickMark val="none"/>
        <c:minorTickMark val="none"/>
        <c:tickLblPos val="nextTo"/>
        <c:crossAx val="103846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[TRADING_TEMPLATE.xlsx]PIVOT TABLE!PivotTable37</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400" b="1" i="0">
                <a:solidFill>
                  <a:schemeClr val="tx1"/>
                </a:solidFill>
              </a:rPr>
              <a:t>DAY</a:t>
            </a:r>
            <a:r>
              <a:rPr lang="en-US" sz="2400" b="1" i="0" baseline="0">
                <a:solidFill>
                  <a:schemeClr val="tx1"/>
                </a:solidFill>
              </a:rPr>
              <a:t>S WISE STOCK PERFORMANCE</a:t>
            </a:r>
            <a:endParaRPr lang="en-US" sz="2400" b="1" i="0">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TABLE'!$R$159:$R$160</c:f>
              <c:strCache>
                <c:ptCount val="1"/>
                <c:pt idx="0">
                  <c:v>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TABLE'!$Q$161:$Q$164</c:f>
              <c:strCache>
                <c:ptCount val="3"/>
                <c:pt idx="0">
                  <c:v>HDFC BANK</c:v>
                </c:pt>
                <c:pt idx="1">
                  <c:v>TCS</c:v>
                </c:pt>
                <c:pt idx="2">
                  <c:v>SBI</c:v>
                </c:pt>
              </c:strCache>
            </c:strRef>
          </c:cat>
          <c:val>
            <c:numRef>
              <c:f>'PIVOT TABLE'!$R$161:$R$164</c:f>
              <c:numCache>
                <c:formatCode>General</c:formatCode>
                <c:ptCount val="3"/>
                <c:pt idx="0">
                  <c:v>1</c:v>
                </c:pt>
                <c:pt idx="1">
                  <c:v>2</c:v>
                </c:pt>
                <c:pt idx="2">
                  <c:v>6</c:v>
                </c:pt>
              </c:numCache>
            </c:numRef>
          </c:val>
          <c:extLst>
            <c:ext xmlns:c16="http://schemas.microsoft.com/office/drawing/2014/chart" uri="{C3380CC4-5D6E-409C-BE32-E72D297353CC}">
              <c16:uniqueId val="{00000000-C8DE-48AF-B6ED-130E1416C649}"/>
            </c:ext>
          </c:extLst>
        </c:ser>
        <c:dLbls>
          <c:showLegendKey val="0"/>
          <c:showVal val="0"/>
          <c:showCatName val="0"/>
          <c:showSerName val="0"/>
          <c:showPercent val="0"/>
          <c:showBubbleSize val="0"/>
        </c:dLbls>
        <c:gapWidth val="182"/>
        <c:axId val="595699616"/>
        <c:axId val="595680416"/>
      </c:barChart>
      <c:catAx>
        <c:axId val="59569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95680416"/>
        <c:crosses val="autoZero"/>
        <c:auto val="1"/>
        <c:lblAlgn val="ctr"/>
        <c:lblOffset val="100"/>
        <c:noMultiLvlLbl val="0"/>
      </c:catAx>
      <c:valAx>
        <c:axId val="595680416"/>
        <c:scaling>
          <c:orientation val="minMax"/>
        </c:scaling>
        <c:delete val="1"/>
        <c:axPos val="b"/>
        <c:numFmt formatCode="General" sourceLinked="1"/>
        <c:majorTickMark val="none"/>
        <c:minorTickMark val="none"/>
        <c:tickLblPos val="nextTo"/>
        <c:crossAx val="595699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45357</xdr:rowOff>
    </xdr:from>
    <xdr:to>
      <xdr:col>35</xdr:col>
      <xdr:colOff>574525</xdr:colOff>
      <xdr:row>7</xdr:row>
      <xdr:rowOff>95250</xdr:rowOff>
    </xdr:to>
    <xdr:sp macro="" textlink="">
      <xdr:nvSpPr>
        <xdr:cNvPr id="2" name="Rectangle 1">
          <a:extLst>
            <a:ext uri="{FF2B5EF4-FFF2-40B4-BE49-F238E27FC236}">
              <a16:creationId xmlns:a16="http://schemas.microsoft.com/office/drawing/2014/main" id="{9EFBCD08-BDE1-FE50-A393-A47CA7652C29}"/>
            </a:ext>
          </a:extLst>
        </xdr:cNvPr>
        <xdr:cNvSpPr/>
      </xdr:nvSpPr>
      <xdr:spPr>
        <a:xfrm>
          <a:off x="3673929" y="234345"/>
          <a:ext cx="18331846" cy="1183822"/>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6600" baseline="0"/>
        </a:p>
        <a:p>
          <a:pPr algn="ctr"/>
          <a:endParaRPr lang="en-IN" sz="6600" baseline="0"/>
        </a:p>
        <a:p>
          <a:pPr algn="l"/>
          <a:endParaRPr lang="en-IN" sz="1100" baseline="0"/>
        </a:p>
      </xdr:txBody>
    </xdr:sp>
    <xdr:clientData/>
  </xdr:twoCellAnchor>
  <xdr:twoCellAnchor>
    <xdr:from>
      <xdr:col>5</xdr:col>
      <xdr:colOff>607217</xdr:colOff>
      <xdr:row>8</xdr:row>
      <xdr:rowOff>23810</xdr:rowOff>
    </xdr:from>
    <xdr:to>
      <xdr:col>12</xdr:col>
      <xdr:colOff>11906</xdr:colOff>
      <xdr:row>13</xdr:row>
      <xdr:rowOff>47623</xdr:rowOff>
    </xdr:to>
    <xdr:sp macro="" textlink="">
      <xdr:nvSpPr>
        <xdr:cNvPr id="3" name="Rectangle 2">
          <a:extLst>
            <a:ext uri="{FF2B5EF4-FFF2-40B4-BE49-F238E27FC236}">
              <a16:creationId xmlns:a16="http://schemas.microsoft.com/office/drawing/2014/main" id="{24044A54-9310-23EA-2FED-B310351124CE}"/>
            </a:ext>
          </a:extLst>
        </xdr:cNvPr>
        <xdr:cNvSpPr/>
      </xdr:nvSpPr>
      <xdr:spPr>
        <a:xfrm>
          <a:off x="3643311" y="1547810"/>
          <a:ext cx="3655220"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STARTING CAPITAL</a:t>
          </a:r>
        </a:p>
        <a:p>
          <a:pPr algn="l"/>
          <a:endParaRPr lang="en-IN" sz="1100"/>
        </a:p>
      </xdr:txBody>
    </xdr:sp>
    <xdr:clientData/>
  </xdr:twoCellAnchor>
  <xdr:twoCellAnchor>
    <xdr:from>
      <xdr:col>14</xdr:col>
      <xdr:colOff>0</xdr:colOff>
      <xdr:row>8</xdr:row>
      <xdr:rowOff>1</xdr:rowOff>
    </xdr:from>
    <xdr:to>
      <xdr:col>20</xdr:col>
      <xdr:colOff>11906</xdr:colOff>
      <xdr:row>13</xdr:row>
      <xdr:rowOff>23814</xdr:rowOff>
    </xdr:to>
    <xdr:sp macro="" textlink="">
      <xdr:nvSpPr>
        <xdr:cNvPr id="4" name="Rectangle 3">
          <a:extLst>
            <a:ext uri="{FF2B5EF4-FFF2-40B4-BE49-F238E27FC236}">
              <a16:creationId xmlns:a16="http://schemas.microsoft.com/office/drawing/2014/main" id="{07B61F5E-4CF2-49D6-862D-999E3278D589}"/>
            </a:ext>
          </a:extLst>
        </xdr:cNvPr>
        <xdr:cNvSpPr/>
      </xdr:nvSpPr>
      <xdr:spPr>
        <a:xfrm>
          <a:off x="8501063" y="1524001"/>
          <a:ext cx="3655218"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CURRENT</a:t>
          </a:r>
          <a:r>
            <a:rPr lang="en-IN" sz="2400" baseline="0"/>
            <a:t> BALANCE</a:t>
          </a:r>
          <a:endParaRPr lang="en-IN" sz="2400"/>
        </a:p>
      </xdr:txBody>
    </xdr:sp>
    <xdr:clientData/>
  </xdr:twoCellAnchor>
  <xdr:twoCellAnchor>
    <xdr:from>
      <xdr:col>21</xdr:col>
      <xdr:colOff>595312</xdr:colOff>
      <xdr:row>8</xdr:row>
      <xdr:rowOff>11907</xdr:rowOff>
    </xdr:from>
    <xdr:to>
      <xdr:col>28</xdr:col>
      <xdr:colOff>11906</xdr:colOff>
      <xdr:row>13</xdr:row>
      <xdr:rowOff>35720</xdr:rowOff>
    </xdr:to>
    <xdr:sp macro="" textlink="">
      <xdr:nvSpPr>
        <xdr:cNvPr id="5" name="Rectangle 4">
          <a:extLst>
            <a:ext uri="{FF2B5EF4-FFF2-40B4-BE49-F238E27FC236}">
              <a16:creationId xmlns:a16="http://schemas.microsoft.com/office/drawing/2014/main" id="{3B80EFAB-79C1-4BD0-80D1-CA6EEBB9B1A0}"/>
            </a:ext>
          </a:extLst>
        </xdr:cNvPr>
        <xdr:cNvSpPr/>
      </xdr:nvSpPr>
      <xdr:spPr>
        <a:xfrm>
          <a:off x="13346906" y="1535907"/>
          <a:ext cx="3667125"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  OVERALL</a:t>
          </a:r>
          <a:endParaRPr lang="en-IN" sz="2400" baseline="0"/>
        </a:p>
      </xdr:txBody>
    </xdr:sp>
    <xdr:clientData/>
  </xdr:twoCellAnchor>
  <xdr:twoCellAnchor>
    <xdr:from>
      <xdr:col>30</xdr:col>
      <xdr:colOff>47625</xdr:colOff>
      <xdr:row>8</xdr:row>
      <xdr:rowOff>11906</xdr:rowOff>
    </xdr:from>
    <xdr:to>
      <xdr:col>36</xdr:col>
      <xdr:colOff>11906</xdr:colOff>
      <xdr:row>13</xdr:row>
      <xdr:rowOff>35719</xdr:rowOff>
    </xdr:to>
    <xdr:sp macro="" textlink="">
      <xdr:nvSpPr>
        <xdr:cNvPr id="6" name="Rectangle 5">
          <a:extLst>
            <a:ext uri="{FF2B5EF4-FFF2-40B4-BE49-F238E27FC236}">
              <a16:creationId xmlns:a16="http://schemas.microsoft.com/office/drawing/2014/main" id="{DF4A39F8-6305-4CC2-91CC-1ECF6F2E64DC}"/>
            </a:ext>
          </a:extLst>
        </xdr:cNvPr>
        <xdr:cNvSpPr/>
      </xdr:nvSpPr>
      <xdr:spPr>
        <a:xfrm>
          <a:off x="18264188" y="1535906"/>
          <a:ext cx="3607593"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OVERALL %</a:t>
          </a:r>
        </a:p>
      </xdr:txBody>
    </xdr:sp>
    <xdr:clientData/>
  </xdr:twoCellAnchor>
  <xdr:twoCellAnchor>
    <xdr:from>
      <xdr:col>6</xdr:col>
      <xdr:colOff>35718</xdr:colOff>
      <xdr:row>36</xdr:row>
      <xdr:rowOff>190499</xdr:rowOff>
    </xdr:from>
    <xdr:to>
      <xdr:col>35</xdr:col>
      <xdr:colOff>595312</xdr:colOff>
      <xdr:row>67</xdr:row>
      <xdr:rowOff>142875</xdr:rowOff>
    </xdr:to>
    <xdr:sp macro="" textlink="">
      <xdr:nvSpPr>
        <xdr:cNvPr id="8" name="Rectangle 7">
          <a:extLst>
            <a:ext uri="{FF2B5EF4-FFF2-40B4-BE49-F238E27FC236}">
              <a16:creationId xmlns:a16="http://schemas.microsoft.com/office/drawing/2014/main" id="{7854DB91-FB45-4CBA-A25B-57DB069A1582}"/>
            </a:ext>
          </a:extLst>
        </xdr:cNvPr>
        <xdr:cNvSpPr/>
      </xdr:nvSpPr>
      <xdr:spPr>
        <a:xfrm>
          <a:off x="3679031" y="7048499"/>
          <a:ext cx="18168937" cy="585787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xdr:colOff>
      <xdr:row>15</xdr:row>
      <xdr:rowOff>11906</xdr:rowOff>
    </xdr:from>
    <xdr:to>
      <xdr:col>19</xdr:col>
      <xdr:colOff>559593</xdr:colOff>
      <xdr:row>35</xdr:row>
      <xdr:rowOff>0</xdr:rowOff>
    </xdr:to>
    <xdr:sp macro="" textlink="">
      <xdr:nvSpPr>
        <xdr:cNvPr id="9" name="Rectangle 8">
          <a:extLst>
            <a:ext uri="{FF2B5EF4-FFF2-40B4-BE49-F238E27FC236}">
              <a16:creationId xmlns:a16="http://schemas.microsoft.com/office/drawing/2014/main" id="{E8B4AB9C-1AA7-4A01-B22C-3DEF34568BB7}"/>
            </a:ext>
          </a:extLst>
        </xdr:cNvPr>
        <xdr:cNvSpPr/>
      </xdr:nvSpPr>
      <xdr:spPr>
        <a:xfrm>
          <a:off x="3643312" y="2869406"/>
          <a:ext cx="8453437" cy="379809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35719</xdr:colOff>
      <xdr:row>15</xdr:row>
      <xdr:rowOff>23812</xdr:rowOff>
    </xdr:from>
    <xdr:to>
      <xdr:col>35</xdr:col>
      <xdr:colOff>595313</xdr:colOff>
      <xdr:row>35</xdr:row>
      <xdr:rowOff>11906</xdr:rowOff>
    </xdr:to>
    <xdr:sp macro="" textlink="">
      <xdr:nvSpPr>
        <xdr:cNvPr id="10" name="Rectangle 9">
          <a:extLst>
            <a:ext uri="{FF2B5EF4-FFF2-40B4-BE49-F238E27FC236}">
              <a16:creationId xmlns:a16="http://schemas.microsoft.com/office/drawing/2014/main" id="{889F7792-0348-43B8-927C-ADF0AEC6392C}"/>
            </a:ext>
          </a:extLst>
        </xdr:cNvPr>
        <xdr:cNvSpPr/>
      </xdr:nvSpPr>
      <xdr:spPr>
        <a:xfrm>
          <a:off x="13394532" y="2881312"/>
          <a:ext cx="8453437" cy="379809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595311</xdr:colOff>
      <xdr:row>1</xdr:row>
      <xdr:rowOff>37599</xdr:rowOff>
    </xdr:from>
    <xdr:to>
      <xdr:col>36</xdr:col>
      <xdr:colOff>15118</xdr:colOff>
      <xdr:row>7</xdr:row>
      <xdr:rowOff>120952</xdr:rowOff>
    </xdr:to>
    <xdr:sp macro="" textlink="">
      <xdr:nvSpPr>
        <xdr:cNvPr id="13" name="TextBox 12">
          <a:extLst>
            <a:ext uri="{FF2B5EF4-FFF2-40B4-BE49-F238E27FC236}">
              <a16:creationId xmlns:a16="http://schemas.microsoft.com/office/drawing/2014/main" id="{48ED5465-BC94-C2D1-E97F-A761CA14BE4C}"/>
            </a:ext>
          </a:extLst>
        </xdr:cNvPr>
        <xdr:cNvSpPr txBox="1"/>
      </xdr:nvSpPr>
      <xdr:spPr>
        <a:xfrm>
          <a:off x="3656918" y="226587"/>
          <a:ext cx="18401771" cy="1217282"/>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aseline="0">
              <a:solidFill>
                <a:schemeClr val="bg1"/>
              </a:solidFill>
              <a:latin typeface="Calibri" panose="020F0502020204030204" pitchFamily="34" charset="0"/>
              <a:ea typeface="SimSun-ExtB" panose="02010609060101010101" pitchFamily="49" charset="-122"/>
              <a:cs typeface="Calibri" panose="020F0502020204030204" pitchFamily="34" charset="0"/>
            </a:rPr>
            <a:t>TRADING DASHBOARD</a:t>
          </a:r>
        </a:p>
        <a:p>
          <a:endParaRPr lang="en-IN" sz="1100"/>
        </a:p>
      </xdr:txBody>
    </xdr:sp>
    <xdr:clientData/>
  </xdr:twoCellAnchor>
  <xdr:twoCellAnchor>
    <xdr:from>
      <xdr:col>30</xdr:col>
      <xdr:colOff>83346</xdr:colOff>
      <xdr:row>10</xdr:row>
      <xdr:rowOff>178593</xdr:rowOff>
    </xdr:from>
    <xdr:to>
      <xdr:col>36</xdr:col>
      <xdr:colOff>23814</xdr:colOff>
      <xdr:row>12</xdr:row>
      <xdr:rowOff>178593</xdr:rowOff>
    </xdr:to>
    <xdr:sp macro="" textlink="'PIVOT TABLE'!I3">
      <xdr:nvSpPr>
        <xdr:cNvPr id="18" name="TextBox 17">
          <a:extLst>
            <a:ext uri="{FF2B5EF4-FFF2-40B4-BE49-F238E27FC236}">
              <a16:creationId xmlns:a16="http://schemas.microsoft.com/office/drawing/2014/main" id="{E47B858A-5908-49F7-BB5B-ED1AF22C4421}"/>
            </a:ext>
          </a:extLst>
        </xdr:cNvPr>
        <xdr:cNvSpPr txBox="1"/>
      </xdr:nvSpPr>
      <xdr:spPr>
        <a:xfrm>
          <a:off x="18299909" y="2083593"/>
          <a:ext cx="3583780" cy="381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D63750-4753-4A8D-8369-14572B7941FF}" type="TxLink">
            <a:rPr lang="en-US" sz="2400" b="0" i="0" u="none" strike="noStrike">
              <a:solidFill>
                <a:schemeClr val="bg1"/>
              </a:solidFill>
              <a:latin typeface="Aptos Narrow"/>
            </a:rPr>
            <a:pPr algn="ctr"/>
            <a:t>28.94%</a:t>
          </a:fld>
          <a:endParaRPr lang="en-IN" sz="2400">
            <a:solidFill>
              <a:schemeClr val="bg1"/>
            </a:solidFill>
          </a:endParaRPr>
        </a:p>
      </xdr:txBody>
    </xdr:sp>
    <xdr:clientData/>
  </xdr:twoCellAnchor>
  <xdr:twoCellAnchor>
    <xdr:from>
      <xdr:col>6</xdr:col>
      <xdr:colOff>11903</xdr:colOff>
      <xdr:row>10</xdr:row>
      <xdr:rowOff>178590</xdr:rowOff>
    </xdr:from>
    <xdr:to>
      <xdr:col>11</xdr:col>
      <xdr:colOff>559590</xdr:colOff>
      <xdr:row>12</xdr:row>
      <xdr:rowOff>178590</xdr:rowOff>
    </xdr:to>
    <xdr:sp macro="" textlink="'PIVOT TABLE'!B3">
      <xdr:nvSpPr>
        <xdr:cNvPr id="19" name="TextBox 18">
          <a:extLst>
            <a:ext uri="{FF2B5EF4-FFF2-40B4-BE49-F238E27FC236}">
              <a16:creationId xmlns:a16="http://schemas.microsoft.com/office/drawing/2014/main" id="{4D3F4124-FB1D-4CA4-915B-DC8A32A8E340}"/>
            </a:ext>
          </a:extLst>
        </xdr:cNvPr>
        <xdr:cNvSpPr txBox="1"/>
      </xdr:nvSpPr>
      <xdr:spPr>
        <a:xfrm>
          <a:off x="3655216" y="2083590"/>
          <a:ext cx="3583780" cy="381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FD92C4-1702-4060-A04F-7C1FD05D955D}" type="TxLink">
            <a:rPr lang="en-US" sz="2400" b="0" i="0" u="none" strike="noStrike">
              <a:solidFill>
                <a:schemeClr val="bg1"/>
              </a:solidFill>
              <a:latin typeface="Aptos Narrow"/>
            </a:rPr>
            <a:pPr algn="ctr"/>
            <a:t>₹ 9,000.00</a:t>
          </a:fld>
          <a:endParaRPr lang="en-IN" sz="2400">
            <a:solidFill>
              <a:schemeClr val="bg1"/>
            </a:solidFill>
          </a:endParaRPr>
        </a:p>
      </xdr:txBody>
    </xdr:sp>
    <xdr:clientData/>
  </xdr:twoCellAnchor>
  <xdr:twoCellAnchor>
    <xdr:from>
      <xdr:col>14</xdr:col>
      <xdr:colOff>47625</xdr:colOff>
      <xdr:row>10</xdr:row>
      <xdr:rowOff>154781</xdr:rowOff>
    </xdr:from>
    <xdr:to>
      <xdr:col>19</xdr:col>
      <xdr:colOff>595312</xdr:colOff>
      <xdr:row>12</xdr:row>
      <xdr:rowOff>154781</xdr:rowOff>
    </xdr:to>
    <xdr:sp macro="" textlink="'PIVOT TABLE'!D3">
      <xdr:nvSpPr>
        <xdr:cNvPr id="20" name="TextBox 19">
          <a:extLst>
            <a:ext uri="{FF2B5EF4-FFF2-40B4-BE49-F238E27FC236}">
              <a16:creationId xmlns:a16="http://schemas.microsoft.com/office/drawing/2014/main" id="{0B9CACB9-CBDC-4FE3-A827-28C49CA98E6B}"/>
            </a:ext>
          </a:extLst>
        </xdr:cNvPr>
        <xdr:cNvSpPr txBox="1"/>
      </xdr:nvSpPr>
      <xdr:spPr>
        <a:xfrm>
          <a:off x="8548688" y="2059781"/>
          <a:ext cx="3583780" cy="381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5653E8-FA28-4DCD-97AE-328070292818}" type="TxLink">
            <a:rPr lang="en-US" sz="2400" b="0" i="0" u="none" strike="noStrike">
              <a:solidFill>
                <a:schemeClr val="bg1"/>
              </a:solidFill>
              <a:latin typeface="Aptos Narrow"/>
            </a:rPr>
            <a:pPr algn="ctr"/>
            <a:t> ₹ 11,605.00 </a:t>
          </a:fld>
          <a:endParaRPr lang="en-IN" sz="2400">
            <a:solidFill>
              <a:schemeClr val="bg1"/>
            </a:solidFill>
          </a:endParaRPr>
        </a:p>
      </xdr:txBody>
    </xdr:sp>
    <xdr:clientData/>
  </xdr:twoCellAnchor>
  <xdr:twoCellAnchor>
    <xdr:from>
      <xdr:col>22</xdr:col>
      <xdr:colOff>23812</xdr:colOff>
      <xdr:row>11</xdr:row>
      <xdr:rowOff>11908</xdr:rowOff>
    </xdr:from>
    <xdr:to>
      <xdr:col>27</xdr:col>
      <xdr:colOff>571499</xdr:colOff>
      <xdr:row>13</xdr:row>
      <xdr:rowOff>11908</xdr:rowOff>
    </xdr:to>
    <xdr:sp macro="" textlink="'PIVOT TABLE'!G3">
      <xdr:nvSpPr>
        <xdr:cNvPr id="21" name="TextBox 20">
          <a:extLst>
            <a:ext uri="{FF2B5EF4-FFF2-40B4-BE49-F238E27FC236}">
              <a16:creationId xmlns:a16="http://schemas.microsoft.com/office/drawing/2014/main" id="{16D4C2D3-47E6-4CDE-A266-0850E55DA2E4}"/>
            </a:ext>
          </a:extLst>
        </xdr:cNvPr>
        <xdr:cNvSpPr txBox="1"/>
      </xdr:nvSpPr>
      <xdr:spPr>
        <a:xfrm>
          <a:off x="13382625" y="2107408"/>
          <a:ext cx="3583780" cy="381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C21C3-BA38-4347-B89B-10FBC40EBB96}" type="TxLink">
            <a:rPr lang="en-US" sz="2400" b="0" i="0" u="none" strike="noStrike">
              <a:solidFill>
                <a:schemeClr val="bg1"/>
              </a:solidFill>
              <a:latin typeface="Aptos Narrow"/>
            </a:rPr>
            <a:pPr algn="ctr"/>
            <a:t> ₹ 2,605.00 </a:t>
          </a:fld>
          <a:endParaRPr lang="en-IN" sz="2400">
            <a:solidFill>
              <a:schemeClr val="bg1"/>
            </a:solidFill>
          </a:endParaRPr>
        </a:p>
      </xdr:txBody>
    </xdr:sp>
    <xdr:clientData/>
  </xdr:twoCellAnchor>
  <xdr:twoCellAnchor>
    <xdr:from>
      <xdr:col>6</xdr:col>
      <xdr:colOff>84849</xdr:colOff>
      <xdr:row>15</xdr:row>
      <xdr:rowOff>119062</xdr:rowOff>
    </xdr:from>
    <xdr:to>
      <xdr:col>19</xdr:col>
      <xdr:colOff>471006</xdr:colOff>
      <xdr:row>34</xdr:row>
      <xdr:rowOff>63562</xdr:rowOff>
    </xdr:to>
    <xdr:graphicFrame macro="">
      <xdr:nvGraphicFramePr>
        <xdr:cNvPr id="23" name="Chart 22">
          <a:extLst>
            <a:ext uri="{FF2B5EF4-FFF2-40B4-BE49-F238E27FC236}">
              <a16:creationId xmlns:a16="http://schemas.microsoft.com/office/drawing/2014/main" id="{801CC58C-4F10-4E73-9392-477475774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107156</xdr:colOff>
      <xdr:row>15</xdr:row>
      <xdr:rowOff>119063</xdr:rowOff>
    </xdr:from>
    <xdr:to>
      <xdr:col>35</xdr:col>
      <xdr:colOff>493313</xdr:colOff>
      <xdr:row>34</xdr:row>
      <xdr:rowOff>63563</xdr:rowOff>
    </xdr:to>
    <xdr:graphicFrame macro="">
      <xdr:nvGraphicFramePr>
        <xdr:cNvPr id="24" name="Chart 23">
          <a:extLst>
            <a:ext uri="{FF2B5EF4-FFF2-40B4-BE49-F238E27FC236}">
              <a16:creationId xmlns:a16="http://schemas.microsoft.com/office/drawing/2014/main" id="{D09A1CC7-DB53-48B3-BE37-00FACF408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11907</xdr:colOff>
      <xdr:row>8</xdr:row>
      <xdr:rowOff>47625</xdr:rowOff>
    </xdr:from>
    <xdr:to>
      <xdr:col>4</xdr:col>
      <xdr:colOff>350251</xdr:colOff>
      <xdr:row>13</xdr:row>
      <xdr:rowOff>175125</xdr:rowOff>
    </xdr:to>
    <xdr:sp macro="" textlink="">
      <xdr:nvSpPr>
        <xdr:cNvPr id="7" name="Rectangle 6">
          <a:extLst>
            <a:ext uri="{FF2B5EF4-FFF2-40B4-BE49-F238E27FC236}">
              <a16:creationId xmlns:a16="http://schemas.microsoft.com/office/drawing/2014/main" id="{66BE1ECC-11FD-E542-6249-583D9D7E509C}"/>
            </a:ext>
          </a:extLst>
        </xdr:cNvPr>
        <xdr:cNvSpPr/>
      </xdr:nvSpPr>
      <xdr:spPr>
        <a:xfrm>
          <a:off x="619126" y="1571625"/>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TRADES</a:t>
          </a:r>
        </a:p>
      </xdr:txBody>
    </xdr:sp>
    <xdr:clientData/>
  </xdr:twoCellAnchor>
  <xdr:twoCellAnchor>
    <xdr:from>
      <xdr:col>1</xdr:col>
      <xdr:colOff>11906</xdr:colOff>
      <xdr:row>16</xdr:row>
      <xdr:rowOff>0</xdr:rowOff>
    </xdr:from>
    <xdr:to>
      <xdr:col>4</xdr:col>
      <xdr:colOff>350250</xdr:colOff>
      <xdr:row>21</xdr:row>
      <xdr:rowOff>127500</xdr:rowOff>
    </xdr:to>
    <xdr:sp macro="" textlink="">
      <xdr:nvSpPr>
        <xdr:cNvPr id="11" name="Rectangle 10">
          <a:extLst>
            <a:ext uri="{FF2B5EF4-FFF2-40B4-BE49-F238E27FC236}">
              <a16:creationId xmlns:a16="http://schemas.microsoft.com/office/drawing/2014/main" id="{D867983E-2838-4B6D-A3F3-01AB9B2DF0CB}"/>
            </a:ext>
          </a:extLst>
        </xdr:cNvPr>
        <xdr:cNvSpPr/>
      </xdr:nvSpPr>
      <xdr:spPr>
        <a:xfrm>
          <a:off x="619125" y="3048000"/>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WIN</a:t>
          </a:r>
          <a:r>
            <a:rPr lang="en-IN" sz="2000" baseline="0"/>
            <a:t> TRADES</a:t>
          </a:r>
          <a:endParaRPr lang="en-IN" sz="2000"/>
        </a:p>
      </xdr:txBody>
    </xdr:sp>
    <xdr:clientData/>
  </xdr:twoCellAnchor>
  <xdr:twoCellAnchor>
    <xdr:from>
      <xdr:col>1</xdr:col>
      <xdr:colOff>23812</xdr:colOff>
      <xdr:row>23</xdr:row>
      <xdr:rowOff>154781</xdr:rowOff>
    </xdr:from>
    <xdr:to>
      <xdr:col>4</xdr:col>
      <xdr:colOff>362156</xdr:colOff>
      <xdr:row>29</xdr:row>
      <xdr:rowOff>91781</xdr:rowOff>
    </xdr:to>
    <xdr:sp macro="" textlink="">
      <xdr:nvSpPr>
        <xdr:cNvPr id="12" name="Rectangle 11">
          <a:extLst>
            <a:ext uri="{FF2B5EF4-FFF2-40B4-BE49-F238E27FC236}">
              <a16:creationId xmlns:a16="http://schemas.microsoft.com/office/drawing/2014/main" id="{4A8B3837-D4D9-48B1-B04B-5AC02FBB3DB9}"/>
            </a:ext>
          </a:extLst>
        </xdr:cNvPr>
        <xdr:cNvSpPr/>
      </xdr:nvSpPr>
      <xdr:spPr>
        <a:xfrm>
          <a:off x="631031" y="4536281"/>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LOSS TRADES</a:t>
          </a:r>
        </a:p>
      </xdr:txBody>
    </xdr:sp>
    <xdr:clientData/>
  </xdr:twoCellAnchor>
  <xdr:twoCellAnchor>
    <xdr:from>
      <xdr:col>1</xdr:col>
      <xdr:colOff>11906</xdr:colOff>
      <xdr:row>40</xdr:row>
      <xdr:rowOff>11907</xdr:rowOff>
    </xdr:from>
    <xdr:to>
      <xdr:col>4</xdr:col>
      <xdr:colOff>350250</xdr:colOff>
      <xdr:row>45</xdr:row>
      <xdr:rowOff>139407</xdr:rowOff>
    </xdr:to>
    <xdr:sp macro="" textlink="">
      <xdr:nvSpPr>
        <xdr:cNvPr id="14" name="Rectangle 13">
          <a:extLst>
            <a:ext uri="{FF2B5EF4-FFF2-40B4-BE49-F238E27FC236}">
              <a16:creationId xmlns:a16="http://schemas.microsoft.com/office/drawing/2014/main" id="{21E4F539-94B2-4512-BBD6-8CE00A47D2D3}"/>
            </a:ext>
          </a:extLst>
        </xdr:cNvPr>
        <xdr:cNvSpPr/>
      </xdr:nvSpPr>
      <xdr:spPr>
        <a:xfrm>
          <a:off x="619125" y="7631907"/>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AVG</a:t>
          </a:r>
          <a:r>
            <a:rPr lang="en-IN" sz="2000" baseline="0"/>
            <a:t> PROFIT</a:t>
          </a:r>
          <a:endParaRPr lang="en-IN" sz="2000"/>
        </a:p>
      </xdr:txBody>
    </xdr:sp>
    <xdr:clientData/>
  </xdr:twoCellAnchor>
  <xdr:twoCellAnchor>
    <xdr:from>
      <xdr:col>1</xdr:col>
      <xdr:colOff>21431</xdr:colOff>
      <xdr:row>31</xdr:row>
      <xdr:rowOff>188119</xdr:rowOff>
    </xdr:from>
    <xdr:to>
      <xdr:col>4</xdr:col>
      <xdr:colOff>359775</xdr:colOff>
      <xdr:row>37</xdr:row>
      <xdr:rowOff>125119</xdr:rowOff>
    </xdr:to>
    <xdr:sp macro="" textlink="">
      <xdr:nvSpPr>
        <xdr:cNvPr id="15" name="Rectangle 14">
          <a:extLst>
            <a:ext uri="{FF2B5EF4-FFF2-40B4-BE49-F238E27FC236}">
              <a16:creationId xmlns:a16="http://schemas.microsoft.com/office/drawing/2014/main" id="{12271E73-8B67-464F-9189-D2FB6032001F}"/>
            </a:ext>
          </a:extLst>
        </xdr:cNvPr>
        <xdr:cNvSpPr/>
      </xdr:nvSpPr>
      <xdr:spPr>
        <a:xfrm>
          <a:off x="628650" y="6093619"/>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PROFIT FACTOR</a:t>
          </a:r>
        </a:p>
        <a:p>
          <a:pPr algn="l"/>
          <a:endParaRPr lang="en-IN" sz="1100"/>
        </a:p>
      </xdr:txBody>
    </xdr:sp>
    <xdr:clientData/>
  </xdr:twoCellAnchor>
  <xdr:twoCellAnchor>
    <xdr:from>
      <xdr:col>1</xdr:col>
      <xdr:colOff>9525</xdr:colOff>
      <xdr:row>48</xdr:row>
      <xdr:rowOff>21431</xdr:rowOff>
    </xdr:from>
    <xdr:to>
      <xdr:col>4</xdr:col>
      <xdr:colOff>347869</xdr:colOff>
      <xdr:row>53</xdr:row>
      <xdr:rowOff>148931</xdr:rowOff>
    </xdr:to>
    <xdr:sp macro="" textlink="">
      <xdr:nvSpPr>
        <xdr:cNvPr id="16" name="Rectangle 15">
          <a:extLst>
            <a:ext uri="{FF2B5EF4-FFF2-40B4-BE49-F238E27FC236}">
              <a16:creationId xmlns:a16="http://schemas.microsoft.com/office/drawing/2014/main" id="{7805772B-FEE5-4D40-932B-0161EA3373AC}"/>
            </a:ext>
          </a:extLst>
        </xdr:cNvPr>
        <xdr:cNvSpPr/>
      </xdr:nvSpPr>
      <xdr:spPr>
        <a:xfrm>
          <a:off x="616744" y="9165431"/>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AVG LOSS</a:t>
          </a:r>
        </a:p>
      </xdr:txBody>
    </xdr:sp>
    <xdr:clientData/>
  </xdr:twoCellAnchor>
  <xdr:twoCellAnchor>
    <xdr:from>
      <xdr:col>1</xdr:col>
      <xdr:colOff>7144</xdr:colOff>
      <xdr:row>56</xdr:row>
      <xdr:rowOff>7143</xdr:rowOff>
    </xdr:from>
    <xdr:to>
      <xdr:col>4</xdr:col>
      <xdr:colOff>345488</xdr:colOff>
      <xdr:row>61</xdr:row>
      <xdr:rowOff>134643</xdr:rowOff>
    </xdr:to>
    <xdr:sp macro="" textlink="">
      <xdr:nvSpPr>
        <xdr:cNvPr id="17" name="Rectangle 16">
          <a:extLst>
            <a:ext uri="{FF2B5EF4-FFF2-40B4-BE49-F238E27FC236}">
              <a16:creationId xmlns:a16="http://schemas.microsoft.com/office/drawing/2014/main" id="{452A23D4-2D42-45BA-911D-6B15E83EBCE1}"/>
            </a:ext>
          </a:extLst>
        </xdr:cNvPr>
        <xdr:cNvSpPr/>
      </xdr:nvSpPr>
      <xdr:spPr>
        <a:xfrm>
          <a:off x="614363" y="10675143"/>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AVG W.TRADE</a:t>
          </a:r>
          <a:r>
            <a:rPr lang="en-IN" sz="2000" baseline="0"/>
            <a:t> TIME</a:t>
          </a:r>
          <a:endParaRPr lang="en-IN" sz="2000"/>
        </a:p>
      </xdr:txBody>
    </xdr:sp>
    <xdr:clientData/>
  </xdr:twoCellAnchor>
  <xdr:twoCellAnchor>
    <xdr:from>
      <xdr:col>1</xdr:col>
      <xdr:colOff>449190</xdr:colOff>
      <xdr:row>10</xdr:row>
      <xdr:rowOff>110402</xdr:rowOff>
    </xdr:from>
    <xdr:to>
      <xdr:col>3</xdr:col>
      <xdr:colOff>496917</xdr:colOff>
      <xdr:row>12</xdr:row>
      <xdr:rowOff>89402</xdr:rowOff>
    </xdr:to>
    <xdr:sp macro="" textlink="'PIVOT TABLE'!S3">
      <xdr:nvSpPr>
        <xdr:cNvPr id="25" name="TextBox 24">
          <a:extLst>
            <a:ext uri="{FF2B5EF4-FFF2-40B4-BE49-F238E27FC236}">
              <a16:creationId xmlns:a16="http://schemas.microsoft.com/office/drawing/2014/main" id="{E40E0E49-BB34-68D1-8D3F-46756F81E5BB}"/>
            </a:ext>
          </a:extLst>
        </xdr:cNvPr>
        <xdr:cNvSpPr txBox="1"/>
      </xdr:nvSpPr>
      <xdr:spPr>
        <a:xfrm>
          <a:off x="1055326" y="2015402"/>
          <a:ext cx="1260000"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A32300-2606-463E-9501-EF92FC40E484}" type="TxLink">
            <a:rPr lang="en-US" sz="2400" b="0" i="0" u="none" strike="noStrike">
              <a:solidFill>
                <a:schemeClr val="bg1"/>
              </a:solidFill>
              <a:latin typeface="Aptos Narrow"/>
            </a:rPr>
            <a:pPr algn="ctr"/>
            <a:t>120</a:t>
          </a:fld>
          <a:endParaRPr lang="en-IN" sz="2400">
            <a:solidFill>
              <a:schemeClr val="bg1"/>
            </a:solidFill>
          </a:endParaRPr>
        </a:p>
      </xdr:txBody>
    </xdr:sp>
    <xdr:clientData/>
  </xdr:twoCellAnchor>
  <xdr:twoCellAnchor>
    <xdr:from>
      <xdr:col>1</xdr:col>
      <xdr:colOff>428625</xdr:colOff>
      <xdr:row>18</xdr:row>
      <xdr:rowOff>1</xdr:rowOff>
    </xdr:from>
    <xdr:to>
      <xdr:col>3</xdr:col>
      <xdr:colOff>476352</xdr:colOff>
      <xdr:row>19</xdr:row>
      <xdr:rowOff>169501</xdr:rowOff>
    </xdr:to>
    <xdr:sp macro="" textlink="'PIVOT TABLE'!W3">
      <xdr:nvSpPr>
        <xdr:cNvPr id="26" name="TextBox 25">
          <a:extLst>
            <a:ext uri="{FF2B5EF4-FFF2-40B4-BE49-F238E27FC236}">
              <a16:creationId xmlns:a16="http://schemas.microsoft.com/office/drawing/2014/main" id="{812850BF-C4AF-443A-BCCF-9A6BA3FF8C12}"/>
            </a:ext>
          </a:extLst>
        </xdr:cNvPr>
        <xdr:cNvSpPr txBox="1"/>
      </xdr:nvSpPr>
      <xdr:spPr>
        <a:xfrm>
          <a:off x="1034761" y="3429001"/>
          <a:ext cx="1260000"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3F7756-4374-4148-AF73-76F37632D4BC}" type="TxLink">
            <a:rPr lang="en-US" sz="2400" b="0" i="0" u="none" strike="noStrike">
              <a:solidFill>
                <a:schemeClr val="bg1"/>
              </a:solidFill>
              <a:latin typeface="Aptos Narrow"/>
            </a:rPr>
            <a:pPr algn="ctr"/>
            <a:t>66</a:t>
          </a:fld>
          <a:endParaRPr lang="en-IN" sz="2400">
            <a:solidFill>
              <a:schemeClr val="bg1"/>
            </a:solidFill>
          </a:endParaRPr>
        </a:p>
      </xdr:txBody>
    </xdr:sp>
    <xdr:clientData/>
  </xdr:twoCellAnchor>
  <xdr:twoCellAnchor>
    <xdr:from>
      <xdr:col>1</xdr:col>
      <xdr:colOff>457850</xdr:colOff>
      <xdr:row>25</xdr:row>
      <xdr:rowOff>146122</xdr:rowOff>
    </xdr:from>
    <xdr:to>
      <xdr:col>3</xdr:col>
      <xdr:colOff>505577</xdr:colOff>
      <xdr:row>27</xdr:row>
      <xdr:rowOff>125122</xdr:rowOff>
    </xdr:to>
    <xdr:sp macro="" textlink="'PIVOT TABLE'!Z3">
      <xdr:nvSpPr>
        <xdr:cNvPr id="27" name="TextBox 26">
          <a:extLst>
            <a:ext uri="{FF2B5EF4-FFF2-40B4-BE49-F238E27FC236}">
              <a16:creationId xmlns:a16="http://schemas.microsoft.com/office/drawing/2014/main" id="{A8CB14CD-AD20-4E53-A2D0-B9C3F2D92DB5}"/>
            </a:ext>
          </a:extLst>
        </xdr:cNvPr>
        <xdr:cNvSpPr txBox="1"/>
      </xdr:nvSpPr>
      <xdr:spPr>
        <a:xfrm>
          <a:off x="1063986" y="4908622"/>
          <a:ext cx="1260000"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DEFA5C-81C0-4370-992D-3701A91B4FAA}" type="TxLink">
            <a:rPr lang="en-US" sz="2400" b="0" i="0" u="none" strike="noStrike">
              <a:solidFill>
                <a:schemeClr val="bg1"/>
              </a:solidFill>
              <a:latin typeface="Aptos Narrow"/>
            </a:rPr>
            <a:pPr algn="ctr"/>
            <a:t>54</a:t>
          </a:fld>
          <a:endParaRPr lang="en-IN" sz="2400">
            <a:solidFill>
              <a:schemeClr val="bg1"/>
            </a:solidFill>
          </a:endParaRPr>
        </a:p>
      </xdr:txBody>
    </xdr:sp>
    <xdr:clientData/>
  </xdr:twoCellAnchor>
  <xdr:twoCellAnchor>
    <xdr:from>
      <xdr:col>1</xdr:col>
      <xdr:colOff>464128</xdr:colOff>
      <xdr:row>34</xdr:row>
      <xdr:rowOff>14938</xdr:rowOff>
    </xdr:from>
    <xdr:to>
      <xdr:col>3</xdr:col>
      <xdr:colOff>511855</xdr:colOff>
      <xdr:row>35</xdr:row>
      <xdr:rowOff>184438</xdr:rowOff>
    </xdr:to>
    <xdr:sp macro="" textlink="'PIVOT TABLE'!AB3">
      <xdr:nvSpPr>
        <xdr:cNvPr id="28" name="TextBox 27">
          <a:extLst>
            <a:ext uri="{FF2B5EF4-FFF2-40B4-BE49-F238E27FC236}">
              <a16:creationId xmlns:a16="http://schemas.microsoft.com/office/drawing/2014/main" id="{FED10BB4-9375-4894-8B7A-EE325BF09D0F}"/>
            </a:ext>
          </a:extLst>
        </xdr:cNvPr>
        <xdr:cNvSpPr txBox="1"/>
      </xdr:nvSpPr>
      <xdr:spPr>
        <a:xfrm>
          <a:off x="1070264" y="6491938"/>
          <a:ext cx="1260000"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623673-5C2B-4B4C-82F7-09FE87BDF8FF}" type="TxLink">
            <a:rPr lang="en-US" sz="2400" b="0" i="0" u="none" strike="noStrike">
              <a:solidFill>
                <a:schemeClr val="bg1"/>
              </a:solidFill>
              <a:latin typeface="Aptos Narrow"/>
            </a:rPr>
            <a:pPr algn="ctr"/>
            <a:t>1.30</a:t>
          </a:fld>
          <a:endParaRPr lang="en-IN" sz="2400">
            <a:solidFill>
              <a:schemeClr val="bg1"/>
            </a:solidFill>
          </a:endParaRPr>
        </a:p>
      </xdr:txBody>
    </xdr:sp>
    <xdr:clientData/>
  </xdr:twoCellAnchor>
  <xdr:twoCellAnchor>
    <xdr:from>
      <xdr:col>1</xdr:col>
      <xdr:colOff>426028</xdr:colOff>
      <xdr:row>42</xdr:row>
      <xdr:rowOff>37452</xdr:rowOff>
    </xdr:from>
    <xdr:to>
      <xdr:col>3</xdr:col>
      <xdr:colOff>473755</xdr:colOff>
      <xdr:row>44</xdr:row>
      <xdr:rowOff>16452</xdr:rowOff>
    </xdr:to>
    <xdr:sp macro="" textlink="'PIVOT TABLE'!AD3">
      <xdr:nvSpPr>
        <xdr:cNvPr id="29" name="TextBox 28">
          <a:extLst>
            <a:ext uri="{FF2B5EF4-FFF2-40B4-BE49-F238E27FC236}">
              <a16:creationId xmlns:a16="http://schemas.microsoft.com/office/drawing/2014/main" id="{0AFA14C1-E1FD-493B-9D44-E783894F3579}"/>
            </a:ext>
          </a:extLst>
        </xdr:cNvPr>
        <xdr:cNvSpPr txBox="1"/>
      </xdr:nvSpPr>
      <xdr:spPr>
        <a:xfrm>
          <a:off x="1032164" y="8038452"/>
          <a:ext cx="1260000"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52007B-5A0A-4AD7-B130-01923FAC33D7}" type="TxLink">
            <a:rPr lang="en-US" sz="2400" b="0" i="0" u="none" strike="noStrike">
              <a:solidFill>
                <a:schemeClr val="bg1"/>
              </a:solidFill>
              <a:latin typeface="Aptos Narrow"/>
            </a:rPr>
            <a:pPr algn="ctr"/>
            <a:t>₹ 173</a:t>
          </a:fld>
          <a:endParaRPr lang="en-IN" sz="2400">
            <a:solidFill>
              <a:schemeClr val="bg1"/>
            </a:solidFill>
          </a:endParaRPr>
        </a:p>
      </xdr:txBody>
    </xdr:sp>
    <xdr:clientData/>
  </xdr:twoCellAnchor>
  <xdr:twoCellAnchor>
    <xdr:from>
      <xdr:col>1</xdr:col>
      <xdr:colOff>434903</xdr:colOff>
      <xdr:row>50</xdr:row>
      <xdr:rowOff>99363</xdr:rowOff>
    </xdr:from>
    <xdr:to>
      <xdr:col>3</xdr:col>
      <xdr:colOff>482630</xdr:colOff>
      <xdr:row>52</xdr:row>
      <xdr:rowOff>78363</xdr:rowOff>
    </xdr:to>
    <xdr:sp macro="" textlink="'PIVOT TABLE'!AF3">
      <xdr:nvSpPr>
        <xdr:cNvPr id="30" name="TextBox 29">
          <a:extLst>
            <a:ext uri="{FF2B5EF4-FFF2-40B4-BE49-F238E27FC236}">
              <a16:creationId xmlns:a16="http://schemas.microsoft.com/office/drawing/2014/main" id="{489C54F8-AE55-4545-B91F-701638B5AAAF}"/>
            </a:ext>
          </a:extLst>
        </xdr:cNvPr>
        <xdr:cNvSpPr txBox="1"/>
      </xdr:nvSpPr>
      <xdr:spPr>
        <a:xfrm>
          <a:off x="1041039" y="9624363"/>
          <a:ext cx="1260000"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243571-869D-46DC-80FB-6433307366D6}" type="TxLink">
            <a:rPr lang="en-US" sz="2400" b="0" i="0" u="none" strike="noStrike">
              <a:solidFill>
                <a:schemeClr val="bg1"/>
              </a:solidFill>
              <a:latin typeface="Aptos Narrow"/>
            </a:rPr>
            <a:pPr algn="ctr"/>
            <a:t>₹ 163</a:t>
          </a:fld>
          <a:endParaRPr lang="en-IN" sz="2400">
            <a:solidFill>
              <a:schemeClr val="bg1"/>
            </a:solidFill>
          </a:endParaRPr>
        </a:p>
      </xdr:txBody>
    </xdr:sp>
    <xdr:clientData/>
  </xdr:twoCellAnchor>
  <xdr:twoCellAnchor>
    <xdr:from>
      <xdr:col>1</xdr:col>
      <xdr:colOff>475818</xdr:colOff>
      <xdr:row>58</xdr:row>
      <xdr:rowOff>85075</xdr:rowOff>
    </xdr:from>
    <xdr:to>
      <xdr:col>3</xdr:col>
      <xdr:colOff>523545</xdr:colOff>
      <xdr:row>60</xdr:row>
      <xdr:rowOff>64075</xdr:rowOff>
    </xdr:to>
    <xdr:sp macro="" textlink="'PIVOT TABLE'!AH3">
      <xdr:nvSpPr>
        <xdr:cNvPr id="31" name="TextBox 30">
          <a:extLst>
            <a:ext uri="{FF2B5EF4-FFF2-40B4-BE49-F238E27FC236}">
              <a16:creationId xmlns:a16="http://schemas.microsoft.com/office/drawing/2014/main" id="{181072B0-7A1E-480E-B7A8-0275FB17D312}"/>
            </a:ext>
          </a:extLst>
        </xdr:cNvPr>
        <xdr:cNvSpPr txBox="1"/>
      </xdr:nvSpPr>
      <xdr:spPr>
        <a:xfrm>
          <a:off x="1081954" y="11134075"/>
          <a:ext cx="1260000"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26FA49-401C-4682-AF6D-5074BAD17E13}" type="TxLink">
            <a:rPr lang="en-US" sz="2400" b="0" i="0" u="none" strike="noStrike">
              <a:solidFill>
                <a:schemeClr val="bg1"/>
              </a:solidFill>
              <a:latin typeface="Aptos Narrow"/>
            </a:rPr>
            <a:pPr algn="ctr"/>
            <a:t>0:20</a:t>
          </a:fld>
          <a:endParaRPr lang="en-IN" sz="2400">
            <a:solidFill>
              <a:schemeClr val="bg1"/>
            </a:solidFill>
          </a:endParaRPr>
        </a:p>
      </xdr:txBody>
    </xdr:sp>
    <xdr:clientData/>
  </xdr:twoCellAnchor>
  <xdr:twoCellAnchor>
    <xdr:from>
      <xdr:col>6</xdr:col>
      <xdr:colOff>166688</xdr:colOff>
      <xdr:row>37</xdr:row>
      <xdr:rowOff>142874</xdr:rowOff>
    </xdr:from>
    <xdr:to>
      <xdr:col>35</xdr:col>
      <xdr:colOff>485345</xdr:colOff>
      <xdr:row>66</xdr:row>
      <xdr:rowOff>162374</xdr:rowOff>
    </xdr:to>
    <xdr:graphicFrame macro="">
      <xdr:nvGraphicFramePr>
        <xdr:cNvPr id="32" name="Chart 31">
          <a:extLst>
            <a:ext uri="{FF2B5EF4-FFF2-40B4-BE49-F238E27FC236}">
              <a16:creationId xmlns:a16="http://schemas.microsoft.com/office/drawing/2014/main" id="{855FDE99-7C0B-4007-8C2F-0F0EF1044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11905</xdr:colOff>
      <xdr:row>68</xdr:row>
      <xdr:rowOff>35719</xdr:rowOff>
    </xdr:from>
    <xdr:to>
      <xdr:col>35</xdr:col>
      <xdr:colOff>595312</xdr:colOff>
      <xdr:row>71</xdr:row>
      <xdr:rowOff>154781</xdr:rowOff>
    </xdr:to>
    <mc:AlternateContent xmlns:mc="http://schemas.openxmlformats.org/markup-compatibility/2006" xmlns:a14="http://schemas.microsoft.com/office/drawing/2010/main">
      <mc:Choice Requires="a14">
        <xdr:graphicFrame macro="">
          <xdr:nvGraphicFramePr>
            <xdr:cNvPr id="33" name="MONTHS">
              <a:extLst>
                <a:ext uri="{FF2B5EF4-FFF2-40B4-BE49-F238E27FC236}">
                  <a16:creationId xmlns:a16="http://schemas.microsoft.com/office/drawing/2014/main" id="{A893944F-70D5-441C-88F6-6AD357E6B89E}"/>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655218" y="12989719"/>
              <a:ext cx="18192750" cy="690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0</xdr:colOff>
      <xdr:row>64</xdr:row>
      <xdr:rowOff>0</xdr:rowOff>
    </xdr:from>
    <xdr:to>
      <xdr:col>4</xdr:col>
      <xdr:colOff>338344</xdr:colOff>
      <xdr:row>69</xdr:row>
      <xdr:rowOff>127500</xdr:rowOff>
    </xdr:to>
    <xdr:sp macro="" textlink="">
      <xdr:nvSpPr>
        <xdr:cNvPr id="34" name="Rectangle 33">
          <a:extLst>
            <a:ext uri="{FF2B5EF4-FFF2-40B4-BE49-F238E27FC236}">
              <a16:creationId xmlns:a16="http://schemas.microsoft.com/office/drawing/2014/main" id="{8232C005-8542-4AC2-8D1A-7D882DDB12FB}"/>
            </a:ext>
          </a:extLst>
        </xdr:cNvPr>
        <xdr:cNvSpPr/>
      </xdr:nvSpPr>
      <xdr:spPr>
        <a:xfrm>
          <a:off x="607219" y="12192000"/>
          <a:ext cx="2160000" cy="10800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MARKET</a:t>
          </a:r>
          <a:r>
            <a:rPr lang="en-IN" sz="2000" baseline="0"/>
            <a:t> REWARD</a:t>
          </a:r>
          <a:endParaRPr lang="en-IN" sz="2000"/>
        </a:p>
      </xdr:txBody>
    </xdr:sp>
    <xdr:clientData/>
  </xdr:twoCellAnchor>
  <xdr:twoCellAnchor>
    <xdr:from>
      <xdr:col>1</xdr:col>
      <xdr:colOff>404812</xdr:colOff>
      <xdr:row>66</xdr:row>
      <xdr:rowOff>59530</xdr:rowOff>
    </xdr:from>
    <xdr:to>
      <xdr:col>3</xdr:col>
      <xdr:colOff>452539</xdr:colOff>
      <xdr:row>68</xdr:row>
      <xdr:rowOff>38530</xdr:rowOff>
    </xdr:to>
    <xdr:sp macro="" textlink="'PIVOT TABLE'!AN3">
      <xdr:nvSpPr>
        <xdr:cNvPr id="35" name="TextBox 34">
          <a:extLst>
            <a:ext uri="{FF2B5EF4-FFF2-40B4-BE49-F238E27FC236}">
              <a16:creationId xmlns:a16="http://schemas.microsoft.com/office/drawing/2014/main" id="{5CC9EEC7-4130-4E26-B28B-B79E2B8F77F1}"/>
            </a:ext>
          </a:extLst>
        </xdr:cNvPr>
        <xdr:cNvSpPr txBox="1"/>
      </xdr:nvSpPr>
      <xdr:spPr>
        <a:xfrm>
          <a:off x="1012031" y="12632530"/>
          <a:ext cx="1262164"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3E292E-DDC1-4A2C-B424-0334E39464E1}" type="TxLink">
            <a:rPr lang="en-US" sz="2400" b="0" i="0" u="none" strike="noStrike">
              <a:solidFill>
                <a:schemeClr val="bg1"/>
              </a:solidFill>
              <a:latin typeface="Aptos Narrow"/>
            </a:rPr>
            <a:pPr algn="ctr"/>
            <a:t>3.45</a:t>
          </a:fld>
          <a:endParaRPr lang="en-IN" sz="24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xdr:colOff>
      <xdr:row>2</xdr:row>
      <xdr:rowOff>47625</xdr:rowOff>
    </xdr:from>
    <xdr:to>
      <xdr:col>36</xdr:col>
      <xdr:colOff>23812</xdr:colOff>
      <xdr:row>7</xdr:row>
      <xdr:rowOff>11906</xdr:rowOff>
    </xdr:to>
    <xdr:sp macro="" textlink="">
      <xdr:nvSpPr>
        <xdr:cNvPr id="2" name="Rectangle 1">
          <a:extLst>
            <a:ext uri="{FF2B5EF4-FFF2-40B4-BE49-F238E27FC236}">
              <a16:creationId xmlns:a16="http://schemas.microsoft.com/office/drawing/2014/main" id="{599C15D1-DA19-4EE6-AF65-BE8FCF856852}"/>
            </a:ext>
          </a:extLst>
        </xdr:cNvPr>
        <xdr:cNvSpPr/>
      </xdr:nvSpPr>
      <xdr:spPr>
        <a:xfrm>
          <a:off x="3643312" y="428625"/>
          <a:ext cx="18240375" cy="916781"/>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latin typeface="Calibri" panose="020F0502020204030204" pitchFamily="34" charset="0"/>
              <a:cs typeface="Calibri" panose="020F0502020204030204" pitchFamily="34" charset="0"/>
            </a:rPr>
            <a:t>DIRECTION WISE ANALYSIS</a:t>
          </a:r>
        </a:p>
      </xdr:txBody>
    </xdr:sp>
    <xdr:clientData/>
  </xdr:twoCellAnchor>
  <xdr:twoCellAnchor>
    <xdr:from>
      <xdr:col>5</xdr:col>
      <xdr:colOff>607217</xdr:colOff>
      <xdr:row>8</xdr:row>
      <xdr:rowOff>23810</xdr:rowOff>
    </xdr:from>
    <xdr:to>
      <xdr:col>12</xdr:col>
      <xdr:colOff>11906</xdr:colOff>
      <xdr:row>13</xdr:row>
      <xdr:rowOff>47623</xdr:rowOff>
    </xdr:to>
    <xdr:sp macro="" textlink="">
      <xdr:nvSpPr>
        <xdr:cNvPr id="3" name="Rectangle 2">
          <a:extLst>
            <a:ext uri="{FF2B5EF4-FFF2-40B4-BE49-F238E27FC236}">
              <a16:creationId xmlns:a16="http://schemas.microsoft.com/office/drawing/2014/main" id="{1200483A-19B8-4CF3-86A6-D89941FC09E1}"/>
            </a:ext>
          </a:extLst>
        </xdr:cNvPr>
        <xdr:cNvSpPr/>
      </xdr:nvSpPr>
      <xdr:spPr>
        <a:xfrm>
          <a:off x="3655217" y="1547810"/>
          <a:ext cx="3671889"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TOT</a:t>
          </a:r>
          <a:r>
            <a:rPr lang="en-IN" sz="2400" baseline="0"/>
            <a:t>AL TRADES</a:t>
          </a:r>
        </a:p>
      </xdr:txBody>
    </xdr:sp>
    <xdr:clientData/>
  </xdr:twoCellAnchor>
  <xdr:twoCellAnchor>
    <xdr:from>
      <xdr:col>14</xdr:col>
      <xdr:colOff>0</xdr:colOff>
      <xdr:row>8</xdr:row>
      <xdr:rowOff>1</xdr:rowOff>
    </xdr:from>
    <xdr:to>
      <xdr:col>20</xdr:col>
      <xdr:colOff>11906</xdr:colOff>
      <xdr:row>13</xdr:row>
      <xdr:rowOff>23814</xdr:rowOff>
    </xdr:to>
    <xdr:sp macro="" textlink="">
      <xdr:nvSpPr>
        <xdr:cNvPr id="4" name="Rectangle 3">
          <a:extLst>
            <a:ext uri="{FF2B5EF4-FFF2-40B4-BE49-F238E27FC236}">
              <a16:creationId xmlns:a16="http://schemas.microsoft.com/office/drawing/2014/main" id="{4577A467-C9F9-4B3D-8F11-DDF62BCE1901}"/>
            </a:ext>
          </a:extLst>
        </xdr:cNvPr>
        <xdr:cNvSpPr/>
      </xdr:nvSpPr>
      <xdr:spPr>
        <a:xfrm>
          <a:off x="8501063" y="1524001"/>
          <a:ext cx="3655218"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WINNING TRADES</a:t>
          </a:r>
        </a:p>
      </xdr:txBody>
    </xdr:sp>
    <xdr:clientData/>
  </xdr:twoCellAnchor>
  <xdr:twoCellAnchor>
    <xdr:from>
      <xdr:col>21</xdr:col>
      <xdr:colOff>595312</xdr:colOff>
      <xdr:row>8</xdr:row>
      <xdr:rowOff>11907</xdr:rowOff>
    </xdr:from>
    <xdr:to>
      <xdr:col>28</xdr:col>
      <xdr:colOff>11906</xdr:colOff>
      <xdr:row>13</xdr:row>
      <xdr:rowOff>35720</xdr:rowOff>
    </xdr:to>
    <xdr:sp macro="" textlink="">
      <xdr:nvSpPr>
        <xdr:cNvPr id="5" name="Rectangle 4">
          <a:extLst>
            <a:ext uri="{FF2B5EF4-FFF2-40B4-BE49-F238E27FC236}">
              <a16:creationId xmlns:a16="http://schemas.microsoft.com/office/drawing/2014/main" id="{C3FCF1EE-60D4-44AA-A23B-5C46DB061884}"/>
            </a:ext>
          </a:extLst>
        </xdr:cNvPr>
        <xdr:cNvSpPr/>
      </xdr:nvSpPr>
      <xdr:spPr>
        <a:xfrm>
          <a:off x="13396912" y="1535907"/>
          <a:ext cx="3683794"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LOSSING TRADES</a:t>
          </a:r>
        </a:p>
      </xdr:txBody>
    </xdr:sp>
    <xdr:clientData/>
  </xdr:twoCellAnchor>
  <xdr:twoCellAnchor>
    <xdr:from>
      <xdr:col>30</xdr:col>
      <xdr:colOff>35719</xdr:colOff>
      <xdr:row>8</xdr:row>
      <xdr:rowOff>59531</xdr:rowOff>
    </xdr:from>
    <xdr:to>
      <xdr:col>36</xdr:col>
      <xdr:colOff>0</xdr:colOff>
      <xdr:row>13</xdr:row>
      <xdr:rowOff>83344</xdr:rowOff>
    </xdr:to>
    <xdr:sp macro="" textlink="">
      <xdr:nvSpPr>
        <xdr:cNvPr id="6" name="Rectangle 5">
          <a:extLst>
            <a:ext uri="{FF2B5EF4-FFF2-40B4-BE49-F238E27FC236}">
              <a16:creationId xmlns:a16="http://schemas.microsoft.com/office/drawing/2014/main" id="{0BAEEFC9-0B54-48B4-AF91-1E7582E02D85}"/>
            </a:ext>
          </a:extLst>
        </xdr:cNvPr>
        <xdr:cNvSpPr/>
      </xdr:nvSpPr>
      <xdr:spPr>
        <a:xfrm>
          <a:off x="18323719" y="1583531"/>
          <a:ext cx="3621881"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AVG</a:t>
          </a:r>
          <a:r>
            <a:rPr lang="en-IN" sz="2400" baseline="0"/>
            <a:t> WINNING R:R</a:t>
          </a:r>
          <a:endParaRPr lang="en-IN" sz="2400"/>
        </a:p>
      </xdr:txBody>
    </xdr:sp>
    <xdr:clientData/>
  </xdr:twoCellAnchor>
  <xdr:twoCellAnchor>
    <xdr:from>
      <xdr:col>6</xdr:col>
      <xdr:colOff>107153</xdr:colOff>
      <xdr:row>10</xdr:row>
      <xdr:rowOff>107153</xdr:rowOff>
    </xdr:from>
    <xdr:to>
      <xdr:col>11</xdr:col>
      <xdr:colOff>559591</xdr:colOff>
      <xdr:row>12</xdr:row>
      <xdr:rowOff>190497</xdr:rowOff>
    </xdr:to>
    <xdr:sp macro="" textlink="'PIVOT TABLE'!B257">
      <xdr:nvSpPr>
        <xdr:cNvPr id="11" name="TextBox 10">
          <a:extLst>
            <a:ext uri="{FF2B5EF4-FFF2-40B4-BE49-F238E27FC236}">
              <a16:creationId xmlns:a16="http://schemas.microsoft.com/office/drawing/2014/main" id="{26D1FC5D-E82D-4615-9497-DC82F1549B39}"/>
            </a:ext>
          </a:extLst>
        </xdr:cNvPr>
        <xdr:cNvSpPr txBox="1"/>
      </xdr:nvSpPr>
      <xdr:spPr>
        <a:xfrm>
          <a:off x="3750466" y="2012153"/>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E9152A-3497-4212-B51A-552E6EC354B1}" type="TxLink">
            <a:rPr lang="en-US" sz="2400" b="0" i="0" u="none" strike="noStrike">
              <a:solidFill>
                <a:schemeClr val="bg1"/>
              </a:solidFill>
              <a:latin typeface="Aptos Narrow"/>
            </a:rPr>
            <a:pPr algn="ctr"/>
            <a:t>61</a:t>
          </a:fld>
          <a:endParaRPr lang="en-IN" sz="2400">
            <a:solidFill>
              <a:schemeClr val="bg1"/>
            </a:solidFill>
          </a:endParaRPr>
        </a:p>
      </xdr:txBody>
    </xdr:sp>
    <xdr:clientData/>
  </xdr:twoCellAnchor>
  <xdr:twoCellAnchor>
    <xdr:from>
      <xdr:col>14</xdr:col>
      <xdr:colOff>83344</xdr:colOff>
      <xdr:row>10</xdr:row>
      <xdr:rowOff>59533</xdr:rowOff>
    </xdr:from>
    <xdr:to>
      <xdr:col>19</xdr:col>
      <xdr:colOff>535782</xdr:colOff>
      <xdr:row>12</xdr:row>
      <xdr:rowOff>142877</xdr:rowOff>
    </xdr:to>
    <xdr:sp macro="" textlink="'PIVOT TABLE'!E258">
      <xdr:nvSpPr>
        <xdr:cNvPr id="12" name="TextBox 11">
          <a:extLst>
            <a:ext uri="{FF2B5EF4-FFF2-40B4-BE49-F238E27FC236}">
              <a16:creationId xmlns:a16="http://schemas.microsoft.com/office/drawing/2014/main" id="{3DFF8843-2CE8-4832-B65F-320E5BDA8669}"/>
            </a:ext>
          </a:extLst>
        </xdr:cNvPr>
        <xdr:cNvSpPr txBox="1"/>
      </xdr:nvSpPr>
      <xdr:spPr>
        <a:xfrm>
          <a:off x="8584407" y="1964533"/>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35958A-F1AF-4B2F-A133-CCDF22D202F3}" type="TxLink">
            <a:rPr lang="en-US" sz="2400" b="0" i="0" u="none" strike="noStrike">
              <a:solidFill>
                <a:schemeClr val="bg1"/>
              </a:solidFill>
              <a:latin typeface="Aptos Narrow"/>
            </a:rPr>
            <a:pPr algn="ctr"/>
            <a:t>30</a:t>
          </a:fld>
          <a:endParaRPr lang="en-IN" sz="2400">
            <a:solidFill>
              <a:schemeClr val="bg1"/>
            </a:solidFill>
          </a:endParaRPr>
        </a:p>
      </xdr:txBody>
    </xdr:sp>
    <xdr:clientData/>
  </xdr:twoCellAnchor>
  <xdr:twoCellAnchor>
    <xdr:from>
      <xdr:col>22</xdr:col>
      <xdr:colOff>85724</xdr:colOff>
      <xdr:row>10</xdr:row>
      <xdr:rowOff>47626</xdr:rowOff>
    </xdr:from>
    <xdr:to>
      <xdr:col>27</xdr:col>
      <xdr:colOff>538162</xdr:colOff>
      <xdr:row>12</xdr:row>
      <xdr:rowOff>130970</xdr:rowOff>
    </xdr:to>
    <xdr:sp macro="" textlink="'PIVOT TABLE'!E257">
      <xdr:nvSpPr>
        <xdr:cNvPr id="13" name="TextBox 12">
          <a:extLst>
            <a:ext uri="{FF2B5EF4-FFF2-40B4-BE49-F238E27FC236}">
              <a16:creationId xmlns:a16="http://schemas.microsoft.com/office/drawing/2014/main" id="{C5DCDA67-BF83-4C06-9B50-7E148AF98B45}"/>
            </a:ext>
          </a:extLst>
        </xdr:cNvPr>
        <xdr:cNvSpPr txBox="1"/>
      </xdr:nvSpPr>
      <xdr:spPr>
        <a:xfrm>
          <a:off x="13444537" y="1952626"/>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6CA720-0312-46E9-8686-573DD8BBF734}" type="TxLink">
            <a:rPr lang="en-US" sz="2400" b="0" i="0" u="none" strike="noStrike">
              <a:solidFill>
                <a:schemeClr val="bg1"/>
              </a:solidFill>
              <a:latin typeface="Aptos Narrow"/>
            </a:rPr>
            <a:pPr algn="ctr"/>
            <a:t>31</a:t>
          </a:fld>
          <a:endParaRPr lang="en-IN" sz="2400">
            <a:solidFill>
              <a:schemeClr val="bg1"/>
            </a:solidFill>
          </a:endParaRPr>
        </a:p>
      </xdr:txBody>
    </xdr:sp>
    <xdr:clientData/>
  </xdr:twoCellAnchor>
  <xdr:twoCellAnchor>
    <xdr:from>
      <xdr:col>30</xdr:col>
      <xdr:colOff>130969</xdr:colOff>
      <xdr:row>10</xdr:row>
      <xdr:rowOff>95250</xdr:rowOff>
    </xdr:from>
    <xdr:to>
      <xdr:col>35</xdr:col>
      <xdr:colOff>583407</xdr:colOff>
      <xdr:row>12</xdr:row>
      <xdr:rowOff>178594</xdr:rowOff>
    </xdr:to>
    <xdr:sp macro="" textlink="'PIVOT TABLE'!Z257">
      <xdr:nvSpPr>
        <xdr:cNvPr id="14" name="TextBox 13">
          <a:extLst>
            <a:ext uri="{FF2B5EF4-FFF2-40B4-BE49-F238E27FC236}">
              <a16:creationId xmlns:a16="http://schemas.microsoft.com/office/drawing/2014/main" id="{1C12DDD1-5AE0-4B43-999E-356D83E43D9B}"/>
            </a:ext>
          </a:extLst>
        </xdr:cNvPr>
        <xdr:cNvSpPr txBox="1"/>
      </xdr:nvSpPr>
      <xdr:spPr>
        <a:xfrm>
          <a:off x="18347532" y="2000250"/>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0734FF-2089-4BDD-9217-6229493A22EB}" type="TxLink">
            <a:rPr lang="en-US" sz="2400" b="0" i="0" u="none" strike="noStrike">
              <a:solidFill>
                <a:schemeClr val="bg1"/>
              </a:solidFill>
              <a:latin typeface="Aptos Narrow"/>
            </a:rPr>
            <a:pPr algn="ctr"/>
            <a:t>1.44</a:t>
          </a:fld>
          <a:endParaRPr lang="en-US" sz="2400">
            <a:solidFill>
              <a:schemeClr val="bg1"/>
            </a:solidFill>
          </a:endParaRPr>
        </a:p>
      </xdr:txBody>
    </xdr:sp>
    <xdr:clientData/>
  </xdr:twoCellAnchor>
  <xdr:twoCellAnchor editAs="oneCell">
    <xdr:from>
      <xdr:col>0</xdr:col>
      <xdr:colOff>559594</xdr:colOff>
      <xdr:row>2</xdr:row>
      <xdr:rowOff>35719</xdr:rowOff>
    </xdr:from>
    <xdr:to>
      <xdr:col>3</xdr:col>
      <xdr:colOff>566738</xdr:colOff>
      <xdr:row>7</xdr:row>
      <xdr:rowOff>0</xdr:rowOff>
    </xdr:to>
    <mc:AlternateContent xmlns:mc="http://schemas.openxmlformats.org/markup-compatibility/2006" xmlns:a14="http://schemas.microsoft.com/office/drawing/2010/main">
      <mc:Choice Requires="a14">
        <xdr:graphicFrame macro="">
          <xdr:nvGraphicFramePr>
            <xdr:cNvPr id="15" name="LONG / SHORT">
              <a:extLst>
                <a:ext uri="{FF2B5EF4-FFF2-40B4-BE49-F238E27FC236}">
                  <a16:creationId xmlns:a16="http://schemas.microsoft.com/office/drawing/2014/main" id="{94CF1DFE-9F5F-4C72-AF85-09CA89E6D895}"/>
                </a:ext>
              </a:extLst>
            </xdr:cNvPr>
            <xdr:cNvGraphicFramePr/>
          </xdr:nvGraphicFramePr>
          <xdr:xfrm>
            <a:off x="0" y="0"/>
            <a:ext cx="0" cy="0"/>
          </xdr:xfrm>
          <a:graphic>
            <a:graphicData uri="http://schemas.microsoft.com/office/drawing/2010/slicer">
              <sle:slicer xmlns:sle="http://schemas.microsoft.com/office/drawing/2010/slicer" name="LONG / SHORT"/>
            </a:graphicData>
          </a:graphic>
        </xdr:graphicFrame>
      </mc:Choice>
      <mc:Fallback xmlns="">
        <xdr:sp macro="" textlink="">
          <xdr:nvSpPr>
            <xdr:cNvPr id="0" name=""/>
            <xdr:cNvSpPr>
              <a:spLocks noTextEdit="1"/>
            </xdr:cNvSpPr>
          </xdr:nvSpPr>
          <xdr:spPr>
            <a:xfrm>
              <a:off x="559594" y="416719"/>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22</xdr:col>
      <xdr:colOff>154781</xdr:colOff>
      <xdr:row>43</xdr:row>
      <xdr:rowOff>1</xdr:rowOff>
    </xdr:from>
    <xdr:to>
      <xdr:col>36</xdr:col>
      <xdr:colOff>107156</xdr:colOff>
      <xdr:row>68</xdr:row>
      <xdr:rowOff>11908</xdr:rowOff>
    </xdr:to>
    <xdr:sp macro="" textlink="">
      <xdr:nvSpPr>
        <xdr:cNvPr id="17" name="Rectangle 16">
          <a:extLst>
            <a:ext uri="{FF2B5EF4-FFF2-40B4-BE49-F238E27FC236}">
              <a16:creationId xmlns:a16="http://schemas.microsoft.com/office/drawing/2014/main" id="{44FBB346-150F-4325-A184-12DA0FDD6D25}"/>
            </a:ext>
          </a:extLst>
        </xdr:cNvPr>
        <xdr:cNvSpPr/>
      </xdr:nvSpPr>
      <xdr:spPr>
        <a:xfrm>
          <a:off x="13513594" y="8191501"/>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595312</xdr:colOff>
      <xdr:row>42</xdr:row>
      <xdr:rowOff>166688</xdr:rowOff>
    </xdr:from>
    <xdr:to>
      <xdr:col>19</xdr:col>
      <xdr:colOff>547687</xdr:colOff>
      <xdr:row>67</xdr:row>
      <xdr:rowOff>178595</xdr:rowOff>
    </xdr:to>
    <xdr:sp macro="" textlink="">
      <xdr:nvSpPr>
        <xdr:cNvPr id="18" name="Rectangle 17">
          <a:extLst>
            <a:ext uri="{FF2B5EF4-FFF2-40B4-BE49-F238E27FC236}">
              <a16:creationId xmlns:a16="http://schemas.microsoft.com/office/drawing/2014/main" id="{0988428D-D26E-49AE-9247-66978B14A0E6}"/>
            </a:ext>
          </a:extLst>
        </xdr:cNvPr>
        <xdr:cNvSpPr/>
      </xdr:nvSpPr>
      <xdr:spPr>
        <a:xfrm>
          <a:off x="3631406" y="8167688"/>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59531</xdr:colOff>
      <xdr:row>14</xdr:row>
      <xdr:rowOff>119063</xdr:rowOff>
    </xdr:from>
    <xdr:to>
      <xdr:col>20</xdr:col>
      <xdr:colOff>11906</xdr:colOff>
      <xdr:row>39</xdr:row>
      <xdr:rowOff>130970</xdr:rowOff>
    </xdr:to>
    <xdr:sp macro="" textlink="">
      <xdr:nvSpPr>
        <xdr:cNvPr id="19" name="Rectangle 18">
          <a:extLst>
            <a:ext uri="{FF2B5EF4-FFF2-40B4-BE49-F238E27FC236}">
              <a16:creationId xmlns:a16="http://schemas.microsoft.com/office/drawing/2014/main" id="{48A68F53-33DD-4258-BF32-F708E76A6D12}"/>
            </a:ext>
          </a:extLst>
        </xdr:cNvPr>
        <xdr:cNvSpPr/>
      </xdr:nvSpPr>
      <xdr:spPr>
        <a:xfrm>
          <a:off x="3702844" y="2786063"/>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23812</xdr:colOff>
      <xdr:row>14</xdr:row>
      <xdr:rowOff>119063</xdr:rowOff>
    </xdr:from>
    <xdr:to>
      <xdr:col>35</xdr:col>
      <xdr:colOff>583406</xdr:colOff>
      <xdr:row>39</xdr:row>
      <xdr:rowOff>130970</xdr:rowOff>
    </xdr:to>
    <xdr:sp macro="" textlink="">
      <xdr:nvSpPr>
        <xdr:cNvPr id="20" name="Rectangle 19">
          <a:extLst>
            <a:ext uri="{FF2B5EF4-FFF2-40B4-BE49-F238E27FC236}">
              <a16:creationId xmlns:a16="http://schemas.microsoft.com/office/drawing/2014/main" id="{166E529C-3937-4FEF-96DA-0902C8D4DF65}"/>
            </a:ext>
          </a:extLst>
        </xdr:cNvPr>
        <xdr:cNvSpPr/>
      </xdr:nvSpPr>
      <xdr:spPr>
        <a:xfrm>
          <a:off x="13382625" y="2786063"/>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107156</xdr:colOff>
      <xdr:row>15</xdr:row>
      <xdr:rowOff>95251</xdr:rowOff>
    </xdr:from>
    <xdr:to>
      <xdr:col>35</xdr:col>
      <xdr:colOff>493313</xdr:colOff>
      <xdr:row>38</xdr:row>
      <xdr:rowOff>33751</xdr:rowOff>
    </xdr:to>
    <xdr:graphicFrame macro="">
      <xdr:nvGraphicFramePr>
        <xdr:cNvPr id="21" name="Chart 20">
          <a:extLst>
            <a:ext uri="{FF2B5EF4-FFF2-40B4-BE49-F238E27FC236}">
              <a16:creationId xmlns:a16="http://schemas.microsoft.com/office/drawing/2014/main" id="{91DF8730-D286-4C65-8486-682E052B1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119062</xdr:colOff>
      <xdr:row>15</xdr:row>
      <xdr:rowOff>95250</xdr:rowOff>
    </xdr:from>
    <xdr:to>
      <xdr:col>19</xdr:col>
      <xdr:colOff>505219</xdr:colOff>
      <xdr:row>38</xdr:row>
      <xdr:rowOff>33750</xdr:rowOff>
    </xdr:to>
    <xdr:graphicFrame macro="">
      <xdr:nvGraphicFramePr>
        <xdr:cNvPr id="8" name="Chart 7">
          <a:extLst>
            <a:ext uri="{FF2B5EF4-FFF2-40B4-BE49-F238E27FC236}">
              <a16:creationId xmlns:a16="http://schemas.microsoft.com/office/drawing/2014/main" id="{CF8F215E-4F1E-40A3-B886-D245546F3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71437</xdr:colOff>
      <xdr:row>43</xdr:row>
      <xdr:rowOff>178593</xdr:rowOff>
    </xdr:from>
    <xdr:to>
      <xdr:col>19</xdr:col>
      <xdr:colOff>457594</xdr:colOff>
      <xdr:row>66</xdr:row>
      <xdr:rowOff>117093</xdr:rowOff>
    </xdr:to>
    <xdr:graphicFrame macro="">
      <xdr:nvGraphicFramePr>
        <xdr:cNvPr id="9" name="Chart 8">
          <a:extLst>
            <a:ext uri="{FF2B5EF4-FFF2-40B4-BE49-F238E27FC236}">
              <a16:creationId xmlns:a16="http://schemas.microsoft.com/office/drawing/2014/main" id="{3D0A8D90-15B1-43D3-B043-DDDBEB94D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250031</xdr:colOff>
      <xdr:row>44</xdr:row>
      <xdr:rowOff>11908</xdr:rowOff>
    </xdr:from>
    <xdr:to>
      <xdr:col>36</xdr:col>
      <xdr:colOff>28969</xdr:colOff>
      <xdr:row>66</xdr:row>
      <xdr:rowOff>140908</xdr:rowOff>
    </xdr:to>
    <xdr:graphicFrame macro="">
      <xdr:nvGraphicFramePr>
        <xdr:cNvPr id="10" name="Chart 9">
          <a:extLst>
            <a:ext uri="{FF2B5EF4-FFF2-40B4-BE49-F238E27FC236}">
              <a16:creationId xmlns:a16="http://schemas.microsoft.com/office/drawing/2014/main" id="{CD2E8BF6-FB0F-4890-8F0D-110E8CF18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xdr:colOff>
      <xdr:row>2</xdr:row>
      <xdr:rowOff>47625</xdr:rowOff>
    </xdr:from>
    <xdr:to>
      <xdr:col>36</xdr:col>
      <xdr:colOff>23812</xdr:colOff>
      <xdr:row>7</xdr:row>
      <xdr:rowOff>11906</xdr:rowOff>
    </xdr:to>
    <xdr:sp macro="" textlink="">
      <xdr:nvSpPr>
        <xdr:cNvPr id="2" name="Rectangle 1">
          <a:extLst>
            <a:ext uri="{FF2B5EF4-FFF2-40B4-BE49-F238E27FC236}">
              <a16:creationId xmlns:a16="http://schemas.microsoft.com/office/drawing/2014/main" id="{D699C353-34D2-4A77-8B48-37EBEE82C487}"/>
            </a:ext>
          </a:extLst>
        </xdr:cNvPr>
        <xdr:cNvSpPr/>
      </xdr:nvSpPr>
      <xdr:spPr>
        <a:xfrm>
          <a:off x="3657599" y="428625"/>
          <a:ext cx="18311813" cy="916781"/>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latin typeface="Calibri" panose="020F0502020204030204" pitchFamily="34" charset="0"/>
              <a:cs typeface="Calibri" panose="020F0502020204030204" pitchFamily="34" charset="0"/>
            </a:rPr>
            <a:t>STRATEGY WISE ANALYSIS</a:t>
          </a:r>
        </a:p>
        <a:p>
          <a:pPr algn="ctr"/>
          <a:endParaRPr lang="en-IN" sz="4800">
            <a:latin typeface="Calibri" panose="020F0502020204030204" pitchFamily="34" charset="0"/>
            <a:cs typeface="Calibri" panose="020F0502020204030204" pitchFamily="34" charset="0"/>
          </a:endParaRPr>
        </a:p>
      </xdr:txBody>
    </xdr:sp>
    <xdr:clientData/>
  </xdr:twoCellAnchor>
  <xdr:twoCellAnchor>
    <xdr:from>
      <xdr:col>6</xdr:col>
      <xdr:colOff>11904</xdr:colOff>
      <xdr:row>8</xdr:row>
      <xdr:rowOff>23810</xdr:rowOff>
    </xdr:from>
    <xdr:to>
      <xdr:col>12</xdr:col>
      <xdr:colOff>23812</xdr:colOff>
      <xdr:row>13</xdr:row>
      <xdr:rowOff>47623</xdr:rowOff>
    </xdr:to>
    <xdr:sp macro="" textlink="">
      <xdr:nvSpPr>
        <xdr:cNvPr id="3" name="Rectangle 2">
          <a:extLst>
            <a:ext uri="{FF2B5EF4-FFF2-40B4-BE49-F238E27FC236}">
              <a16:creationId xmlns:a16="http://schemas.microsoft.com/office/drawing/2014/main" id="{3605DDFA-CF79-4686-B6F3-9A7A29B7AC10}"/>
            </a:ext>
          </a:extLst>
        </xdr:cNvPr>
        <xdr:cNvSpPr/>
      </xdr:nvSpPr>
      <xdr:spPr>
        <a:xfrm>
          <a:off x="3655217" y="1547810"/>
          <a:ext cx="3655220"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TOTAL TRADES</a:t>
          </a:r>
        </a:p>
      </xdr:txBody>
    </xdr:sp>
    <xdr:clientData/>
  </xdr:twoCellAnchor>
  <xdr:twoCellAnchor>
    <xdr:from>
      <xdr:col>14</xdr:col>
      <xdr:colOff>0</xdr:colOff>
      <xdr:row>8</xdr:row>
      <xdr:rowOff>1</xdr:rowOff>
    </xdr:from>
    <xdr:to>
      <xdr:col>20</xdr:col>
      <xdr:colOff>11906</xdr:colOff>
      <xdr:row>13</xdr:row>
      <xdr:rowOff>23814</xdr:rowOff>
    </xdr:to>
    <xdr:sp macro="" textlink="">
      <xdr:nvSpPr>
        <xdr:cNvPr id="4" name="Rectangle 3">
          <a:extLst>
            <a:ext uri="{FF2B5EF4-FFF2-40B4-BE49-F238E27FC236}">
              <a16:creationId xmlns:a16="http://schemas.microsoft.com/office/drawing/2014/main" id="{01060BA6-2F35-4E1A-ADDE-37A57DDAB4F8}"/>
            </a:ext>
          </a:extLst>
        </xdr:cNvPr>
        <xdr:cNvSpPr/>
      </xdr:nvSpPr>
      <xdr:spPr>
        <a:xfrm>
          <a:off x="8534400" y="1524001"/>
          <a:ext cx="3669506"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WINNING</a:t>
          </a:r>
          <a:r>
            <a:rPr lang="en-IN" sz="2400" baseline="0"/>
            <a:t> TRADES</a:t>
          </a:r>
        </a:p>
      </xdr:txBody>
    </xdr:sp>
    <xdr:clientData/>
  </xdr:twoCellAnchor>
  <xdr:twoCellAnchor>
    <xdr:from>
      <xdr:col>21</xdr:col>
      <xdr:colOff>595312</xdr:colOff>
      <xdr:row>8</xdr:row>
      <xdr:rowOff>11907</xdr:rowOff>
    </xdr:from>
    <xdr:to>
      <xdr:col>28</xdr:col>
      <xdr:colOff>11906</xdr:colOff>
      <xdr:row>13</xdr:row>
      <xdr:rowOff>35720</xdr:rowOff>
    </xdr:to>
    <xdr:sp macro="" textlink="">
      <xdr:nvSpPr>
        <xdr:cNvPr id="5" name="Rectangle 4">
          <a:extLst>
            <a:ext uri="{FF2B5EF4-FFF2-40B4-BE49-F238E27FC236}">
              <a16:creationId xmlns:a16="http://schemas.microsoft.com/office/drawing/2014/main" id="{139D7B61-550B-40E3-9E4E-A3B00B205EE1}"/>
            </a:ext>
          </a:extLst>
        </xdr:cNvPr>
        <xdr:cNvSpPr/>
      </xdr:nvSpPr>
      <xdr:spPr>
        <a:xfrm>
          <a:off x="13396912" y="1535907"/>
          <a:ext cx="3683794"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LOSSING TRADES</a:t>
          </a:r>
        </a:p>
        <a:p>
          <a:pPr algn="ctr"/>
          <a:endParaRPr lang="en-IN" sz="2400"/>
        </a:p>
      </xdr:txBody>
    </xdr:sp>
    <xdr:clientData/>
  </xdr:twoCellAnchor>
  <xdr:twoCellAnchor>
    <xdr:from>
      <xdr:col>30</xdr:col>
      <xdr:colOff>35719</xdr:colOff>
      <xdr:row>8</xdr:row>
      <xdr:rowOff>59531</xdr:rowOff>
    </xdr:from>
    <xdr:to>
      <xdr:col>36</xdr:col>
      <xdr:colOff>0</xdr:colOff>
      <xdr:row>13</xdr:row>
      <xdr:rowOff>83344</xdr:rowOff>
    </xdr:to>
    <xdr:sp macro="" textlink="">
      <xdr:nvSpPr>
        <xdr:cNvPr id="6" name="Rectangle 5">
          <a:extLst>
            <a:ext uri="{FF2B5EF4-FFF2-40B4-BE49-F238E27FC236}">
              <a16:creationId xmlns:a16="http://schemas.microsoft.com/office/drawing/2014/main" id="{AAE7445A-7382-4D9B-94EA-8FA0861D6997}"/>
            </a:ext>
          </a:extLst>
        </xdr:cNvPr>
        <xdr:cNvSpPr/>
      </xdr:nvSpPr>
      <xdr:spPr>
        <a:xfrm>
          <a:off x="18323719" y="1583531"/>
          <a:ext cx="3621881"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AVG</a:t>
          </a:r>
          <a:r>
            <a:rPr lang="en-IN" sz="2400" baseline="0"/>
            <a:t> WINNING R:R</a:t>
          </a:r>
          <a:endParaRPr lang="en-IN" sz="2400"/>
        </a:p>
        <a:p>
          <a:pPr algn="ctr"/>
          <a:endParaRPr lang="en-IN" sz="2400"/>
        </a:p>
      </xdr:txBody>
    </xdr:sp>
    <xdr:clientData/>
  </xdr:twoCellAnchor>
  <xdr:twoCellAnchor>
    <xdr:from>
      <xdr:col>6</xdr:col>
      <xdr:colOff>23813</xdr:colOff>
      <xdr:row>42</xdr:row>
      <xdr:rowOff>47624</xdr:rowOff>
    </xdr:from>
    <xdr:to>
      <xdr:col>19</xdr:col>
      <xdr:colOff>583407</xdr:colOff>
      <xdr:row>67</xdr:row>
      <xdr:rowOff>59531</xdr:rowOff>
    </xdr:to>
    <xdr:sp macro="" textlink="">
      <xdr:nvSpPr>
        <xdr:cNvPr id="7" name="Rectangle 6">
          <a:extLst>
            <a:ext uri="{FF2B5EF4-FFF2-40B4-BE49-F238E27FC236}">
              <a16:creationId xmlns:a16="http://schemas.microsoft.com/office/drawing/2014/main" id="{F2F57584-D565-43AB-BB63-7115705765F5}"/>
            </a:ext>
          </a:extLst>
        </xdr:cNvPr>
        <xdr:cNvSpPr/>
      </xdr:nvSpPr>
      <xdr:spPr>
        <a:xfrm>
          <a:off x="3667126" y="8048624"/>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23811</xdr:colOff>
      <xdr:row>15</xdr:row>
      <xdr:rowOff>23812</xdr:rowOff>
    </xdr:from>
    <xdr:to>
      <xdr:col>19</xdr:col>
      <xdr:colOff>583405</xdr:colOff>
      <xdr:row>40</xdr:row>
      <xdr:rowOff>35719</xdr:rowOff>
    </xdr:to>
    <xdr:sp macro="" textlink="">
      <xdr:nvSpPr>
        <xdr:cNvPr id="11" name="Rectangle 10">
          <a:extLst>
            <a:ext uri="{FF2B5EF4-FFF2-40B4-BE49-F238E27FC236}">
              <a16:creationId xmlns:a16="http://schemas.microsoft.com/office/drawing/2014/main" id="{1026686B-C057-4377-8BDB-CB922104C8DE}"/>
            </a:ext>
          </a:extLst>
        </xdr:cNvPr>
        <xdr:cNvSpPr/>
      </xdr:nvSpPr>
      <xdr:spPr>
        <a:xfrm>
          <a:off x="3667124" y="2881312"/>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9525</xdr:colOff>
      <xdr:row>15</xdr:row>
      <xdr:rowOff>45243</xdr:rowOff>
    </xdr:from>
    <xdr:to>
      <xdr:col>35</xdr:col>
      <xdr:colOff>569119</xdr:colOff>
      <xdr:row>40</xdr:row>
      <xdr:rowOff>57150</xdr:rowOff>
    </xdr:to>
    <xdr:sp macro="" textlink="">
      <xdr:nvSpPr>
        <xdr:cNvPr id="12" name="Rectangle 11">
          <a:extLst>
            <a:ext uri="{FF2B5EF4-FFF2-40B4-BE49-F238E27FC236}">
              <a16:creationId xmlns:a16="http://schemas.microsoft.com/office/drawing/2014/main" id="{839A7247-6029-4FFE-8FF7-07F7F5D19F88}"/>
            </a:ext>
          </a:extLst>
        </xdr:cNvPr>
        <xdr:cNvSpPr/>
      </xdr:nvSpPr>
      <xdr:spPr>
        <a:xfrm>
          <a:off x="13368338" y="2902743"/>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19050</xdr:colOff>
      <xdr:row>42</xdr:row>
      <xdr:rowOff>42861</xdr:rowOff>
    </xdr:from>
    <xdr:to>
      <xdr:col>35</xdr:col>
      <xdr:colOff>578644</xdr:colOff>
      <xdr:row>67</xdr:row>
      <xdr:rowOff>54768</xdr:rowOff>
    </xdr:to>
    <xdr:sp macro="" textlink="">
      <xdr:nvSpPr>
        <xdr:cNvPr id="13" name="Rectangle 12">
          <a:extLst>
            <a:ext uri="{FF2B5EF4-FFF2-40B4-BE49-F238E27FC236}">
              <a16:creationId xmlns:a16="http://schemas.microsoft.com/office/drawing/2014/main" id="{5C8FDD8D-539B-4276-8A7E-62A1B51358CD}"/>
            </a:ext>
          </a:extLst>
        </xdr:cNvPr>
        <xdr:cNvSpPr/>
      </xdr:nvSpPr>
      <xdr:spPr>
        <a:xfrm>
          <a:off x="13377863" y="8043861"/>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71437</xdr:colOff>
      <xdr:row>10</xdr:row>
      <xdr:rowOff>71437</xdr:rowOff>
    </xdr:from>
    <xdr:to>
      <xdr:col>11</xdr:col>
      <xdr:colOff>523875</xdr:colOff>
      <xdr:row>12</xdr:row>
      <xdr:rowOff>154781</xdr:rowOff>
    </xdr:to>
    <xdr:sp macro="" textlink="'PIVOT TABLE'!B94">
      <xdr:nvSpPr>
        <xdr:cNvPr id="14" name="TextBox 13">
          <a:extLst>
            <a:ext uri="{FF2B5EF4-FFF2-40B4-BE49-F238E27FC236}">
              <a16:creationId xmlns:a16="http://schemas.microsoft.com/office/drawing/2014/main" id="{7BB89BB2-0C8A-A3F7-2BD8-DF7402CEB705}"/>
            </a:ext>
          </a:extLst>
        </xdr:cNvPr>
        <xdr:cNvSpPr txBox="1"/>
      </xdr:nvSpPr>
      <xdr:spPr>
        <a:xfrm>
          <a:off x="3714750" y="1976437"/>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153D0-C3B5-4621-8652-41884F9B759B}" type="TxLink">
            <a:rPr lang="en-US" sz="2400" b="0" i="0" u="none" strike="noStrike">
              <a:solidFill>
                <a:schemeClr val="bg1"/>
              </a:solidFill>
              <a:latin typeface="Aptos Narrow"/>
            </a:rPr>
            <a:pPr algn="ctr"/>
            <a:t>38</a:t>
          </a:fld>
          <a:endParaRPr lang="en-IN" sz="2400">
            <a:solidFill>
              <a:schemeClr val="bg1"/>
            </a:solidFill>
          </a:endParaRPr>
        </a:p>
      </xdr:txBody>
    </xdr:sp>
    <xdr:clientData/>
  </xdr:twoCellAnchor>
  <xdr:twoCellAnchor>
    <xdr:from>
      <xdr:col>14</xdr:col>
      <xdr:colOff>92869</xdr:colOff>
      <xdr:row>10</xdr:row>
      <xdr:rowOff>95251</xdr:rowOff>
    </xdr:from>
    <xdr:to>
      <xdr:col>19</xdr:col>
      <xdr:colOff>545307</xdr:colOff>
      <xdr:row>12</xdr:row>
      <xdr:rowOff>178595</xdr:rowOff>
    </xdr:to>
    <xdr:sp macro="" textlink="'PIVOT TABLE'!E95">
      <xdr:nvSpPr>
        <xdr:cNvPr id="15" name="TextBox 14">
          <a:extLst>
            <a:ext uri="{FF2B5EF4-FFF2-40B4-BE49-F238E27FC236}">
              <a16:creationId xmlns:a16="http://schemas.microsoft.com/office/drawing/2014/main" id="{F5FA440B-4CC9-4060-B7CB-6C9D032DC374}"/>
            </a:ext>
          </a:extLst>
        </xdr:cNvPr>
        <xdr:cNvSpPr txBox="1"/>
      </xdr:nvSpPr>
      <xdr:spPr>
        <a:xfrm>
          <a:off x="8593932" y="2000251"/>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DDB118-1E4E-48C0-9441-332E745D3754}" type="TxLink">
            <a:rPr lang="en-US" sz="2400" b="0" i="0" u="none" strike="noStrike">
              <a:solidFill>
                <a:schemeClr val="bg1"/>
              </a:solidFill>
              <a:latin typeface="Aptos Narrow"/>
            </a:rPr>
            <a:pPr algn="ctr"/>
            <a:t>16</a:t>
          </a:fld>
          <a:endParaRPr lang="en-IN" sz="2400">
            <a:solidFill>
              <a:schemeClr val="bg1"/>
            </a:solidFill>
          </a:endParaRPr>
        </a:p>
      </xdr:txBody>
    </xdr:sp>
    <xdr:clientData/>
  </xdr:twoCellAnchor>
  <xdr:twoCellAnchor>
    <xdr:from>
      <xdr:col>22</xdr:col>
      <xdr:colOff>109536</xdr:colOff>
      <xdr:row>10</xdr:row>
      <xdr:rowOff>83345</xdr:rowOff>
    </xdr:from>
    <xdr:to>
      <xdr:col>27</xdr:col>
      <xdr:colOff>561974</xdr:colOff>
      <xdr:row>12</xdr:row>
      <xdr:rowOff>166689</xdr:rowOff>
    </xdr:to>
    <xdr:sp macro="" textlink="'PIVOT TABLE'!E94">
      <xdr:nvSpPr>
        <xdr:cNvPr id="16" name="TextBox 15">
          <a:extLst>
            <a:ext uri="{FF2B5EF4-FFF2-40B4-BE49-F238E27FC236}">
              <a16:creationId xmlns:a16="http://schemas.microsoft.com/office/drawing/2014/main" id="{DB5D734F-6320-481A-A027-42768F4BBD07}"/>
            </a:ext>
          </a:extLst>
        </xdr:cNvPr>
        <xdr:cNvSpPr txBox="1"/>
      </xdr:nvSpPr>
      <xdr:spPr>
        <a:xfrm>
          <a:off x="13468349" y="1988345"/>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A9B0E-B295-40AD-8324-ECDE1BA9CD6A}" type="TxLink">
            <a:rPr lang="en-US" sz="2400" b="0" i="0" u="none" strike="noStrike">
              <a:solidFill>
                <a:schemeClr val="bg1"/>
              </a:solidFill>
              <a:latin typeface="Aptos Narrow"/>
            </a:rPr>
            <a:pPr algn="ctr"/>
            <a:t>22</a:t>
          </a:fld>
          <a:endParaRPr lang="en-IN" sz="2400">
            <a:solidFill>
              <a:schemeClr val="bg1"/>
            </a:solidFill>
          </a:endParaRPr>
        </a:p>
      </xdr:txBody>
    </xdr:sp>
    <xdr:clientData/>
  </xdr:twoCellAnchor>
  <xdr:twoCellAnchor>
    <xdr:from>
      <xdr:col>22</xdr:col>
      <xdr:colOff>92868</xdr:colOff>
      <xdr:row>16</xdr:row>
      <xdr:rowOff>57149</xdr:rowOff>
    </xdr:from>
    <xdr:to>
      <xdr:col>35</xdr:col>
      <xdr:colOff>479025</xdr:colOff>
      <xdr:row>38</xdr:row>
      <xdr:rowOff>186149</xdr:rowOff>
    </xdr:to>
    <xdr:graphicFrame macro="">
      <xdr:nvGraphicFramePr>
        <xdr:cNvPr id="18" name="Chart 17">
          <a:extLst>
            <a:ext uri="{FF2B5EF4-FFF2-40B4-BE49-F238E27FC236}">
              <a16:creationId xmlns:a16="http://schemas.microsoft.com/office/drawing/2014/main" id="{EE9B2D20-FB6E-419E-BA0A-62AA09390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559594</xdr:colOff>
      <xdr:row>2</xdr:row>
      <xdr:rowOff>71439</xdr:rowOff>
    </xdr:from>
    <xdr:to>
      <xdr:col>3</xdr:col>
      <xdr:colOff>566738</xdr:colOff>
      <xdr:row>8</xdr:row>
      <xdr:rowOff>119063</xdr:rowOff>
    </xdr:to>
    <mc:AlternateContent xmlns:mc="http://schemas.openxmlformats.org/markup-compatibility/2006" xmlns:a14="http://schemas.microsoft.com/office/drawing/2010/main">
      <mc:Choice Requires="a14">
        <xdr:graphicFrame macro="">
          <xdr:nvGraphicFramePr>
            <xdr:cNvPr id="23" name="STRATEGY NAME">
              <a:extLst>
                <a:ext uri="{FF2B5EF4-FFF2-40B4-BE49-F238E27FC236}">
                  <a16:creationId xmlns:a16="http://schemas.microsoft.com/office/drawing/2014/main" id="{78343627-756E-4570-AF18-BD76E4A8E225}"/>
                </a:ext>
              </a:extLst>
            </xdr:cNvPr>
            <xdr:cNvGraphicFramePr/>
          </xdr:nvGraphicFramePr>
          <xdr:xfrm>
            <a:off x="0" y="0"/>
            <a:ext cx="0" cy="0"/>
          </xdr:xfrm>
          <a:graphic>
            <a:graphicData uri="http://schemas.microsoft.com/office/drawing/2010/slicer">
              <sle:slicer xmlns:sle="http://schemas.microsoft.com/office/drawing/2010/slicer" name="STRATEGY NAME"/>
            </a:graphicData>
          </a:graphic>
        </xdr:graphicFrame>
      </mc:Choice>
      <mc:Fallback xmlns="">
        <xdr:sp macro="" textlink="">
          <xdr:nvSpPr>
            <xdr:cNvPr id="0" name=""/>
            <xdr:cNvSpPr>
              <a:spLocks noTextEdit="1"/>
            </xdr:cNvSpPr>
          </xdr:nvSpPr>
          <xdr:spPr>
            <a:xfrm>
              <a:off x="559594" y="452438"/>
              <a:ext cx="1828800" cy="1678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95249</xdr:colOff>
      <xdr:row>16</xdr:row>
      <xdr:rowOff>59531</xdr:rowOff>
    </xdr:from>
    <xdr:to>
      <xdr:col>19</xdr:col>
      <xdr:colOff>481406</xdr:colOff>
      <xdr:row>38</xdr:row>
      <xdr:rowOff>188531</xdr:rowOff>
    </xdr:to>
    <xdr:graphicFrame macro="">
      <xdr:nvGraphicFramePr>
        <xdr:cNvPr id="8" name="Chart 7">
          <a:extLst>
            <a:ext uri="{FF2B5EF4-FFF2-40B4-BE49-F238E27FC236}">
              <a16:creationId xmlns:a16="http://schemas.microsoft.com/office/drawing/2014/main" id="{1367A4C4-9363-4636-9657-8BCDF5F13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107152</xdr:colOff>
      <xdr:row>43</xdr:row>
      <xdr:rowOff>35718</xdr:rowOff>
    </xdr:from>
    <xdr:to>
      <xdr:col>19</xdr:col>
      <xdr:colOff>493309</xdr:colOff>
      <xdr:row>65</xdr:row>
      <xdr:rowOff>164718</xdr:rowOff>
    </xdr:to>
    <xdr:graphicFrame macro="">
      <xdr:nvGraphicFramePr>
        <xdr:cNvPr id="9" name="Chart 8">
          <a:extLst>
            <a:ext uri="{FF2B5EF4-FFF2-40B4-BE49-F238E27FC236}">
              <a16:creationId xmlns:a16="http://schemas.microsoft.com/office/drawing/2014/main" id="{2665967E-734A-41C6-B582-512814DCD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83344</xdr:colOff>
      <xdr:row>10</xdr:row>
      <xdr:rowOff>142875</xdr:rowOff>
    </xdr:from>
    <xdr:to>
      <xdr:col>35</xdr:col>
      <xdr:colOff>535782</xdr:colOff>
      <xdr:row>13</xdr:row>
      <xdr:rowOff>35719</xdr:rowOff>
    </xdr:to>
    <xdr:sp macro="" textlink="'PIVOT TABLE'!Z94">
      <xdr:nvSpPr>
        <xdr:cNvPr id="10" name="TextBox 9">
          <a:extLst>
            <a:ext uri="{FF2B5EF4-FFF2-40B4-BE49-F238E27FC236}">
              <a16:creationId xmlns:a16="http://schemas.microsoft.com/office/drawing/2014/main" id="{8015F0E1-50E2-46A7-AC50-261F78F4CB48}"/>
            </a:ext>
          </a:extLst>
        </xdr:cNvPr>
        <xdr:cNvSpPr txBox="1"/>
      </xdr:nvSpPr>
      <xdr:spPr>
        <a:xfrm>
          <a:off x="18299907" y="2047875"/>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2B6F14-616B-486A-B40C-4835266F0CDB}" type="TxLink">
            <a:rPr lang="en-US" sz="2400" b="0" i="0" u="none" strike="noStrike">
              <a:solidFill>
                <a:schemeClr val="bg1"/>
              </a:solidFill>
              <a:latin typeface="Aptos Narrow"/>
            </a:rPr>
            <a:pPr algn="ctr"/>
            <a:t>1.89</a:t>
          </a:fld>
          <a:endParaRPr lang="en-IN" sz="2400">
            <a:solidFill>
              <a:schemeClr val="bg1"/>
            </a:solidFill>
          </a:endParaRPr>
        </a:p>
      </xdr:txBody>
    </xdr:sp>
    <xdr:clientData/>
  </xdr:twoCellAnchor>
  <xdr:twoCellAnchor>
    <xdr:from>
      <xdr:col>22</xdr:col>
      <xdr:colOff>138113</xdr:colOff>
      <xdr:row>43</xdr:row>
      <xdr:rowOff>19048</xdr:rowOff>
    </xdr:from>
    <xdr:to>
      <xdr:col>35</xdr:col>
      <xdr:colOff>524270</xdr:colOff>
      <xdr:row>65</xdr:row>
      <xdr:rowOff>148048</xdr:rowOff>
    </xdr:to>
    <xdr:graphicFrame macro="">
      <xdr:nvGraphicFramePr>
        <xdr:cNvPr id="17" name="Chart 16">
          <a:extLst>
            <a:ext uri="{FF2B5EF4-FFF2-40B4-BE49-F238E27FC236}">
              <a16:creationId xmlns:a16="http://schemas.microsoft.com/office/drawing/2014/main" id="{AD0714E3-B29A-4805-9EB0-CED8376FB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xdr:colOff>
      <xdr:row>2</xdr:row>
      <xdr:rowOff>47625</xdr:rowOff>
    </xdr:from>
    <xdr:to>
      <xdr:col>36</xdr:col>
      <xdr:colOff>23812</xdr:colOff>
      <xdr:row>7</xdr:row>
      <xdr:rowOff>11906</xdr:rowOff>
    </xdr:to>
    <xdr:sp macro="" textlink="">
      <xdr:nvSpPr>
        <xdr:cNvPr id="2" name="Rectangle 1">
          <a:extLst>
            <a:ext uri="{FF2B5EF4-FFF2-40B4-BE49-F238E27FC236}">
              <a16:creationId xmlns:a16="http://schemas.microsoft.com/office/drawing/2014/main" id="{F8B5302D-91A7-4F07-9BF0-9C2E1A66231D}"/>
            </a:ext>
          </a:extLst>
        </xdr:cNvPr>
        <xdr:cNvSpPr/>
      </xdr:nvSpPr>
      <xdr:spPr>
        <a:xfrm>
          <a:off x="3643312" y="428625"/>
          <a:ext cx="18240375" cy="916781"/>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a:t>DAYS</a:t>
          </a:r>
          <a:r>
            <a:rPr lang="en-IN" sz="5400" baseline="0"/>
            <a:t> WISE REPORT</a:t>
          </a:r>
        </a:p>
        <a:p>
          <a:pPr algn="l"/>
          <a:endParaRPr lang="en-IN" sz="1100"/>
        </a:p>
      </xdr:txBody>
    </xdr:sp>
    <xdr:clientData/>
  </xdr:twoCellAnchor>
  <xdr:twoCellAnchor>
    <xdr:from>
      <xdr:col>5</xdr:col>
      <xdr:colOff>607217</xdr:colOff>
      <xdr:row>8</xdr:row>
      <xdr:rowOff>23810</xdr:rowOff>
    </xdr:from>
    <xdr:to>
      <xdr:col>12</xdr:col>
      <xdr:colOff>11906</xdr:colOff>
      <xdr:row>13</xdr:row>
      <xdr:rowOff>47623</xdr:rowOff>
    </xdr:to>
    <xdr:sp macro="" textlink="">
      <xdr:nvSpPr>
        <xdr:cNvPr id="3" name="Rectangle 2">
          <a:extLst>
            <a:ext uri="{FF2B5EF4-FFF2-40B4-BE49-F238E27FC236}">
              <a16:creationId xmlns:a16="http://schemas.microsoft.com/office/drawing/2014/main" id="{1F733B43-59D5-4D9E-A057-3240C9500C06}"/>
            </a:ext>
          </a:extLst>
        </xdr:cNvPr>
        <xdr:cNvSpPr/>
      </xdr:nvSpPr>
      <xdr:spPr>
        <a:xfrm>
          <a:off x="3655217" y="1547810"/>
          <a:ext cx="3671889"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TOTAL TRADES</a:t>
          </a:r>
        </a:p>
      </xdr:txBody>
    </xdr:sp>
    <xdr:clientData/>
  </xdr:twoCellAnchor>
  <xdr:twoCellAnchor>
    <xdr:from>
      <xdr:col>14</xdr:col>
      <xdr:colOff>0</xdr:colOff>
      <xdr:row>8</xdr:row>
      <xdr:rowOff>1</xdr:rowOff>
    </xdr:from>
    <xdr:to>
      <xdr:col>20</xdr:col>
      <xdr:colOff>11906</xdr:colOff>
      <xdr:row>13</xdr:row>
      <xdr:rowOff>23814</xdr:rowOff>
    </xdr:to>
    <xdr:sp macro="" textlink="">
      <xdr:nvSpPr>
        <xdr:cNvPr id="4" name="Rectangle 3">
          <a:extLst>
            <a:ext uri="{FF2B5EF4-FFF2-40B4-BE49-F238E27FC236}">
              <a16:creationId xmlns:a16="http://schemas.microsoft.com/office/drawing/2014/main" id="{7BB01713-BA40-45A6-A22B-100234110614}"/>
            </a:ext>
          </a:extLst>
        </xdr:cNvPr>
        <xdr:cNvSpPr/>
      </xdr:nvSpPr>
      <xdr:spPr>
        <a:xfrm>
          <a:off x="8534400" y="1524001"/>
          <a:ext cx="3669506"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WINNING TRADES</a:t>
          </a:r>
        </a:p>
      </xdr:txBody>
    </xdr:sp>
    <xdr:clientData/>
  </xdr:twoCellAnchor>
  <xdr:twoCellAnchor>
    <xdr:from>
      <xdr:col>21</xdr:col>
      <xdr:colOff>595312</xdr:colOff>
      <xdr:row>8</xdr:row>
      <xdr:rowOff>11907</xdr:rowOff>
    </xdr:from>
    <xdr:to>
      <xdr:col>28</xdr:col>
      <xdr:colOff>11906</xdr:colOff>
      <xdr:row>13</xdr:row>
      <xdr:rowOff>35720</xdr:rowOff>
    </xdr:to>
    <xdr:sp macro="" textlink="">
      <xdr:nvSpPr>
        <xdr:cNvPr id="5" name="Rectangle 4">
          <a:extLst>
            <a:ext uri="{FF2B5EF4-FFF2-40B4-BE49-F238E27FC236}">
              <a16:creationId xmlns:a16="http://schemas.microsoft.com/office/drawing/2014/main" id="{1169F396-0377-46C5-965C-D435CCBEA221}"/>
            </a:ext>
          </a:extLst>
        </xdr:cNvPr>
        <xdr:cNvSpPr/>
      </xdr:nvSpPr>
      <xdr:spPr>
        <a:xfrm>
          <a:off x="13396912" y="1535907"/>
          <a:ext cx="3683794"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LOSSING TRADES</a:t>
          </a:r>
        </a:p>
      </xdr:txBody>
    </xdr:sp>
    <xdr:clientData/>
  </xdr:twoCellAnchor>
  <xdr:twoCellAnchor>
    <xdr:from>
      <xdr:col>30</xdr:col>
      <xdr:colOff>35719</xdr:colOff>
      <xdr:row>8</xdr:row>
      <xdr:rowOff>59531</xdr:rowOff>
    </xdr:from>
    <xdr:to>
      <xdr:col>36</xdr:col>
      <xdr:colOff>0</xdr:colOff>
      <xdr:row>13</xdr:row>
      <xdr:rowOff>83344</xdr:rowOff>
    </xdr:to>
    <xdr:sp macro="" textlink="">
      <xdr:nvSpPr>
        <xdr:cNvPr id="6" name="Rectangle 5">
          <a:extLst>
            <a:ext uri="{FF2B5EF4-FFF2-40B4-BE49-F238E27FC236}">
              <a16:creationId xmlns:a16="http://schemas.microsoft.com/office/drawing/2014/main" id="{61380FD0-A3FD-4352-AF01-500FF939B3CB}"/>
            </a:ext>
          </a:extLst>
        </xdr:cNvPr>
        <xdr:cNvSpPr/>
      </xdr:nvSpPr>
      <xdr:spPr>
        <a:xfrm>
          <a:off x="18323719" y="1583531"/>
          <a:ext cx="3621881" cy="97631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AVG</a:t>
          </a:r>
          <a:r>
            <a:rPr lang="en-IN" sz="2400" baseline="0"/>
            <a:t> WINNING R:R</a:t>
          </a:r>
          <a:endParaRPr lang="en-IN" sz="2400"/>
        </a:p>
      </xdr:txBody>
    </xdr:sp>
    <xdr:clientData/>
  </xdr:twoCellAnchor>
  <xdr:twoCellAnchor>
    <xdr:from>
      <xdr:col>6</xdr:col>
      <xdr:colOff>35718</xdr:colOff>
      <xdr:row>15</xdr:row>
      <xdr:rowOff>0</xdr:rowOff>
    </xdr:from>
    <xdr:to>
      <xdr:col>19</xdr:col>
      <xdr:colOff>595312</xdr:colOff>
      <xdr:row>40</xdr:row>
      <xdr:rowOff>11907</xdr:rowOff>
    </xdr:to>
    <xdr:sp macro="" textlink="">
      <xdr:nvSpPr>
        <xdr:cNvPr id="11" name="Rectangle 10">
          <a:extLst>
            <a:ext uri="{FF2B5EF4-FFF2-40B4-BE49-F238E27FC236}">
              <a16:creationId xmlns:a16="http://schemas.microsoft.com/office/drawing/2014/main" id="{2A848530-8C75-4280-B372-11B0681C4F75}"/>
            </a:ext>
          </a:extLst>
        </xdr:cNvPr>
        <xdr:cNvSpPr/>
      </xdr:nvSpPr>
      <xdr:spPr>
        <a:xfrm>
          <a:off x="3679031" y="2857500"/>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xdr:colOff>
      <xdr:row>42</xdr:row>
      <xdr:rowOff>119062</xdr:rowOff>
    </xdr:from>
    <xdr:to>
      <xdr:col>20</xdr:col>
      <xdr:colOff>0</xdr:colOff>
      <xdr:row>67</xdr:row>
      <xdr:rowOff>130969</xdr:rowOff>
    </xdr:to>
    <xdr:sp macro="" textlink="">
      <xdr:nvSpPr>
        <xdr:cNvPr id="12" name="Rectangle 11">
          <a:extLst>
            <a:ext uri="{FF2B5EF4-FFF2-40B4-BE49-F238E27FC236}">
              <a16:creationId xmlns:a16="http://schemas.microsoft.com/office/drawing/2014/main" id="{0608F536-5C3F-4D41-BA25-C36E73639575}"/>
            </a:ext>
          </a:extLst>
        </xdr:cNvPr>
        <xdr:cNvSpPr/>
      </xdr:nvSpPr>
      <xdr:spPr>
        <a:xfrm>
          <a:off x="3690938" y="8120062"/>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59531</xdr:colOff>
      <xdr:row>42</xdr:row>
      <xdr:rowOff>107156</xdr:rowOff>
    </xdr:from>
    <xdr:to>
      <xdr:col>36</xdr:col>
      <xdr:colOff>11906</xdr:colOff>
      <xdr:row>67</xdr:row>
      <xdr:rowOff>119063</xdr:rowOff>
    </xdr:to>
    <xdr:sp macro="" textlink="">
      <xdr:nvSpPr>
        <xdr:cNvPr id="13" name="Rectangle 12">
          <a:extLst>
            <a:ext uri="{FF2B5EF4-FFF2-40B4-BE49-F238E27FC236}">
              <a16:creationId xmlns:a16="http://schemas.microsoft.com/office/drawing/2014/main" id="{F0D48A77-B540-453A-99A4-2B431C20F510}"/>
            </a:ext>
          </a:extLst>
        </xdr:cNvPr>
        <xdr:cNvSpPr/>
      </xdr:nvSpPr>
      <xdr:spPr>
        <a:xfrm>
          <a:off x="13418344" y="8108156"/>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35719</xdr:colOff>
      <xdr:row>15</xdr:row>
      <xdr:rowOff>11907</xdr:rowOff>
    </xdr:from>
    <xdr:to>
      <xdr:col>35</xdr:col>
      <xdr:colOff>595313</xdr:colOff>
      <xdr:row>40</xdr:row>
      <xdr:rowOff>23814</xdr:rowOff>
    </xdr:to>
    <xdr:sp macro="" textlink="">
      <xdr:nvSpPr>
        <xdr:cNvPr id="14" name="Rectangle 13">
          <a:extLst>
            <a:ext uri="{FF2B5EF4-FFF2-40B4-BE49-F238E27FC236}">
              <a16:creationId xmlns:a16="http://schemas.microsoft.com/office/drawing/2014/main" id="{1C0240CF-240C-4B96-A49F-672B866D038C}"/>
            </a:ext>
          </a:extLst>
        </xdr:cNvPr>
        <xdr:cNvSpPr/>
      </xdr:nvSpPr>
      <xdr:spPr>
        <a:xfrm>
          <a:off x="13394532" y="2869407"/>
          <a:ext cx="8453437" cy="477440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107154</xdr:colOff>
      <xdr:row>10</xdr:row>
      <xdr:rowOff>71435</xdr:rowOff>
    </xdr:from>
    <xdr:to>
      <xdr:col>11</xdr:col>
      <xdr:colOff>559592</xdr:colOff>
      <xdr:row>12</xdr:row>
      <xdr:rowOff>154779</xdr:rowOff>
    </xdr:to>
    <xdr:sp macro="" textlink="'PIVOT TABLE'!B160">
      <xdr:nvSpPr>
        <xdr:cNvPr id="9" name="TextBox 8">
          <a:extLst>
            <a:ext uri="{FF2B5EF4-FFF2-40B4-BE49-F238E27FC236}">
              <a16:creationId xmlns:a16="http://schemas.microsoft.com/office/drawing/2014/main" id="{81E3BC72-267E-4CC6-8DBE-8F34A36F1034}"/>
            </a:ext>
          </a:extLst>
        </xdr:cNvPr>
        <xdr:cNvSpPr txBox="1"/>
      </xdr:nvSpPr>
      <xdr:spPr>
        <a:xfrm>
          <a:off x="3750467" y="1976435"/>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44453C-2425-4663-A727-F102B7D1F09D}" type="TxLink">
            <a:rPr lang="en-US" sz="2400" b="0" i="0" u="none" strike="noStrike">
              <a:solidFill>
                <a:schemeClr val="bg1"/>
              </a:solidFill>
              <a:latin typeface="Aptos Narrow"/>
            </a:rPr>
            <a:pPr algn="ctr"/>
            <a:t>22</a:t>
          </a:fld>
          <a:endParaRPr lang="en-IN" sz="2400">
            <a:solidFill>
              <a:schemeClr val="bg1"/>
            </a:solidFill>
          </a:endParaRPr>
        </a:p>
      </xdr:txBody>
    </xdr:sp>
    <xdr:clientData/>
  </xdr:twoCellAnchor>
  <xdr:twoCellAnchor>
    <xdr:from>
      <xdr:col>14</xdr:col>
      <xdr:colOff>33338</xdr:colOff>
      <xdr:row>10</xdr:row>
      <xdr:rowOff>47626</xdr:rowOff>
    </xdr:from>
    <xdr:to>
      <xdr:col>19</xdr:col>
      <xdr:colOff>485776</xdr:colOff>
      <xdr:row>12</xdr:row>
      <xdr:rowOff>130970</xdr:rowOff>
    </xdr:to>
    <xdr:sp macro="" textlink="'PIVOT TABLE'!E161">
      <xdr:nvSpPr>
        <xdr:cNvPr id="10" name="TextBox 9">
          <a:extLst>
            <a:ext uri="{FF2B5EF4-FFF2-40B4-BE49-F238E27FC236}">
              <a16:creationId xmlns:a16="http://schemas.microsoft.com/office/drawing/2014/main" id="{057F13CE-E4FB-4701-8D3F-2610B8C6890F}"/>
            </a:ext>
          </a:extLst>
        </xdr:cNvPr>
        <xdr:cNvSpPr txBox="1"/>
      </xdr:nvSpPr>
      <xdr:spPr>
        <a:xfrm>
          <a:off x="8534401" y="1952626"/>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E5417-FDEC-42AB-B882-61117D1D7979}" type="TxLink">
            <a:rPr lang="en-US" sz="2400" b="0" i="0" u="none" strike="noStrike">
              <a:solidFill>
                <a:schemeClr val="bg1"/>
              </a:solidFill>
              <a:latin typeface="Aptos Narrow"/>
            </a:rPr>
            <a:pPr algn="ctr"/>
            <a:t>13</a:t>
          </a:fld>
          <a:endParaRPr lang="en-IN" sz="2400">
            <a:solidFill>
              <a:schemeClr val="bg1"/>
            </a:solidFill>
          </a:endParaRPr>
        </a:p>
      </xdr:txBody>
    </xdr:sp>
    <xdr:clientData/>
  </xdr:twoCellAnchor>
  <xdr:twoCellAnchor>
    <xdr:from>
      <xdr:col>22</xdr:col>
      <xdr:colOff>85724</xdr:colOff>
      <xdr:row>10</xdr:row>
      <xdr:rowOff>95251</xdr:rowOff>
    </xdr:from>
    <xdr:to>
      <xdr:col>27</xdr:col>
      <xdr:colOff>538162</xdr:colOff>
      <xdr:row>12</xdr:row>
      <xdr:rowOff>178595</xdr:rowOff>
    </xdr:to>
    <xdr:sp macro="" textlink="'PIVOT TABLE'!E160">
      <xdr:nvSpPr>
        <xdr:cNvPr id="15" name="TextBox 14">
          <a:extLst>
            <a:ext uri="{FF2B5EF4-FFF2-40B4-BE49-F238E27FC236}">
              <a16:creationId xmlns:a16="http://schemas.microsoft.com/office/drawing/2014/main" id="{ABB25649-5527-4189-8009-8138D918921A}"/>
            </a:ext>
          </a:extLst>
        </xdr:cNvPr>
        <xdr:cNvSpPr txBox="1"/>
      </xdr:nvSpPr>
      <xdr:spPr>
        <a:xfrm>
          <a:off x="13444537" y="2000251"/>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3C3C00-685F-420B-9B6F-C31F717F912E}" type="TxLink">
            <a:rPr lang="en-US" sz="2400" b="0" i="0" u="none" strike="noStrike">
              <a:solidFill>
                <a:schemeClr val="bg1"/>
              </a:solidFill>
              <a:latin typeface="Aptos Narrow"/>
            </a:rPr>
            <a:pPr algn="ctr"/>
            <a:t>9</a:t>
          </a:fld>
          <a:endParaRPr lang="en-IN" sz="2400">
            <a:solidFill>
              <a:schemeClr val="bg1"/>
            </a:solidFill>
          </a:endParaRPr>
        </a:p>
      </xdr:txBody>
    </xdr:sp>
    <xdr:clientData/>
  </xdr:twoCellAnchor>
  <xdr:twoCellAnchor>
    <xdr:from>
      <xdr:col>30</xdr:col>
      <xdr:colOff>119064</xdr:colOff>
      <xdr:row>10</xdr:row>
      <xdr:rowOff>142875</xdr:rowOff>
    </xdr:from>
    <xdr:to>
      <xdr:col>35</xdr:col>
      <xdr:colOff>571502</xdr:colOff>
      <xdr:row>13</xdr:row>
      <xdr:rowOff>35719</xdr:rowOff>
    </xdr:to>
    <xdr:sp macro="" textlink="'PIVOT TABLE'!Z160">
      <xdr:nvSpPr>
        <xdr:cNvPr id="16" name="TextBox 15">
          <a:extLst>
            <a:ext uri="{FF2B5EF4-FFF2-40B4-BE49-F238E27FC236}">
              <a16:creationId xmlns:a16="http://schemas.microsoft.com/office/drawing/2014/main" id="{F4BD7B0C-5717-47AA-941D-CCF2EDF9C0A7}"/>
            </a:ext>
          </a:extLst>
        </xdr:cNvPr>
        <xdr:cNvSpPr txBox="1"/>
      </xdr:nvSpPr>
      <xdr:spPr>
        <a:xfrm>
          <a:off x="18335627" y="2047875"/>
          <a:ext cx="3488531" cy="46434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B58BC-EB33-428E-B028-00E32BA727D0}" type="TxLink">
            <a:rPr lang="en-US" sz="2400" b="0" i="0" u="none" strike="noStrike">
              <a:solidFill>
                <a:schemeClr val="bg1"/>
              </a:solidFill>
              <a:latin typeface="Aptos Narrow"/>
            </a:rPr>
            <a:pPr algn="ctr"/>
            <a:t>1.32</a:t>
          </a:fld>
          <a:endParaRPr lang="en-IN" sz="2400">
            <a:solidFill>
              <a:schemeClr val="bg1"/>
            </a:solidFill>
          </a:endParaRPr>
        </a:p>
      </xdr:txBody>
    </xdr:sp>
    <xdr:clientData/>
  </xdr:twoCellAnchor>
  <xdr:twoCellAnchor>
    <xdr:from>
      <xdr:col>22</xdr:col>
      <xdr:colOff>142875</xdr:colOff>
      <xdr:row>16</xdr:row>
      <xdr:rowOff>71438</xdr:rowOff>
    </xdr:from>
    <xdr:to>
      <xdr:col>35</xdr:col>
      <xdr:colOff>529032</xdr:colOff>
      <xdr:row>39</xdr:row>
      <xdr:rowOff>9938</xdr:rowOff>
    </xdr:to>
    <xdr:graphicFrame macro="">
      <xdr:nvGraphicFramePr>
        <xdr:cNvPr id="17" name="Chart 16">
          <a:extLst>
            <a:ext uri="{FF2B5EF4-FFF2-40B4-BE49-F238E27FC236}">
              <a16:creationId xmlns:a16="http://schemas.microsoft.com/office/drawing/2014/main" id="{4F7A7BAD-E8C0-4D11-814F-4C80C50B8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107157</xdr:colOff>
      <xdr:row>16</xdr:row>
      <xdr:rowOff>35719</xdr:rowOff>
    </xdr:from>
    <xdr:to>
      <xdr:col>19</xdr:col>
      <xdr:colOff>493314</xdr:colOff>
      <xdr:row>38</xdr:row>
      <xdr:rowOff>164719</xdr:rowOff>
    </xdr:to>
    <xdr:graphicFrame macro="">
      <xdr:nvGraphicFramePr>
        <xdr:cNvPr id="19" name="Chart 18">
          <a:extLst>
            <a:ext uri="{FF2B5EF4-FFF2-40B4-BE49-F238E27FC236}">
              <a16:creationId xmlns:a16="http://schemas.microsoft.com/office/drawing/2014/main" id="{A97C43F5-E8E6-4814-9C9B-A23E00020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50006</xdr:colOff>
      <xdr:row>2</xdr:row>
      <xdr:rowOff>59531</xdr:rowOff>
    </xdr:from>
    <xdr:to>
      <xdr:col>4</xdr:col>
      <xdr:colOff>119062</xdr:colOff>
      <xdr:row>11</xdr:row>
      <xdr:rowOff>107156</xdr:rowOff>
    </xdr:to>
    <mc:AlternateContent xmlns:mc="http://schemas.openxmlformats.org/markup-compatibility/2006" xmlns:a14="http://schemas.microsoft.com/office/drawing/2010/main">
      <mc:Choice Requires="a14">
        <xdr:graphicFrame macro="">
          <xdr:nvGraphicFramePr>
            <xdr:cNvPr id="20" name="DAY 1">
              <a:extLst>
                <a:ext uri="{FF2B5EF4-FFF2-40B4-BE49-F238E27FC236}">
                  <a16:creationId xmlns:a16="http://schemas.microsoft.com/office/drawing/2014/main" id="{E5C6CE03-B8F7-47DF-887D-471C32372DA7}"/>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657225" y="440531"/>
              <a:ext cx="1828800" cy="213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119062</xdr:colOff>
      <xdr:row>43</xdr:row>
      <xdr:rowOff>83344</xdr:rowOff>
    </xdr:from>
    <xdr:to>
      <xdr:col>19</xdr:col>
      <xdr:colOff>505219</xdr:colOff>
      <xdr:row>66</xdr:row>
      <xdr:rowOff>21844</xdr:rowOff>
    </xdr:to>
    <xdr:graphicFrame macro="">
      <xdr:nvGraphicFramePr>
        <xdr:cNvPr id="21" name="Chart 20">
          <a:extLst>
            <a:ext uri="{FF2B5EF4-FFF2-40B4-BE49-F238E27FC236}">
              <a16:creationId xmlns:a16="http://schemas.microsoft.com/office/drawing/2014/main" id="{95755CCE-BDFF-42ED-BC86-27C5BD42D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178592</xdr:colOff>
      <xdr:row>43</xdr:row>
      <xdr:rowOff>142875</xdr:rowOff>
    </xdr:from>
    <xdr:to>
      <xdr:col>35</xdr:col>
      <xdr:colOff>564749</xdr:colOff>
      <xdr:row>66</xdr:row>
      <xdr:rowOff>81375</xdr:rowOff>
    </xdr:to>
    <xdr:graphicFrame macro="">
      <xdr:nvGraphicFramePr>
        <xdr:cNvPr id="7" name="Chart 6">
          <a:extLst>
            <a:ext uri="{FF2B5EF4-FFF2-40B4-BE49-F238E27FC236}">
              <a16:creationId xmlns:a16="http://schemas.microsoft.com/office/drawing/2014/main" id="{E72205DB-6382-4E1F-8759-D5AEC5F4D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9524</xdr:colOff>
      <xdr:row>1</xdr:row>
      <xdr:rowOff>114299</xdr:rowOff>
    </xdr:from>
    <xdr:to>
      <xdr:col>35</xdr:col>
      <xdr:colOff>575924</xdr:colOff>
      <xdr:row>8</xdr:row>
      <xdr:rowOff>8399</xdr:rowOff>
    </xdr:to>
    <xdr:sp macro="" textlink="">
      <xdr:nvSpPr>
        <xdr:cNvPr id="3" name="Rectangle 2">
          <a:extLst>
            <a:ext uri="{FF2B5EF4-FFF2-40B4-BE49-F238E27FC236}">
              <a16:creationId xmlns:a16="http://schemas.microsoft.com/office/drawing/2014/main" id="{671058DC-CD3C-C9A8-CB28-58D6E8BA3941}"/>
            </a:ext>
          </a:extLst>
        </xdr:cNvPr>
        <xdr:cNvSpPr/>
      </xdr:nvSpPr>
      <xdr:spPr>
        <a:xfrm>
          <a:off x="3667124" y="304799"/>
          <a:ext cx="18244800" cy="12276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0">
              <a:latin typeface="Calibri" panose="020F0502020204030204" pitchFamily="34" charset="0"/>
              <a:cs typeface="Calibri" panose="020F0502020204030204" pitchFamily="34" charset="0"/>
            </a:rPr>
            <a:t>TRADING RULES</a:t>
          </a:r>
        </a:p>
      </xdr:txBody>
    </xdr:sp>
    <xdr:clientData/>
  </xdr:twoCellAnchor>
  <xdr:twoCellAnchor>
    <xdr:from>
      <xdr:col>17</xdr:col>
      <xdr:colOff>270304</xdr:colOff>
      <xdr:row>62</xdr:row>
      <xdr:rowOff>218818</xdr:rowOff>
    </xdr:from>
    <xdr:to>
      <xdr:col>20</xdr:col>
      <xdr:colOff>205946</xdr:colOff>
      <xdr:row>70</xdr:row>
      <xdr:rowOff>180203</xdr:rowOff>
    </xdr:to>
    <xdr:cxnSp macro="">
      <xdr:nvCxnSpPr>
        <xdr:cNvPr id="8" name="Straight Connector 7">
          <a:extLst>
            <a:ext uri="{FF2B5EF4-FFF2-40B4-BE49-F238E27FC236}">
              <a16:creationId xmlns:a16="http://schemas.microsoft.com/office/drawing/2014/main" id="{6649D222-E8EF-15E6-D1F5-0403C9262A28}"/>
            </a:ext>
          </a:extLst>
        </xdr:cNvPr>
        <xdr:cNvCxnSpPr/>
      </xdr:nvCxnSpPr>
      <xdr:spPr>
        <a:xfrm flipV="1">
          <a:off x="10554730" y="19230203"/>
          <a:ext cx="1750540" cy="2638682"/>
        </a:xfrm>
        <a:prstGeom prst="line">
          <a:avLst/>
        </a:prstGeom>
        <a:ln w="57150">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218817</xdr:colOff>
      <xdr:row>62</xdr:row>
      <xdr:rowOff>193075</xdr:rowOff>
    </xdr:from>
    <xdr:to>
      <xdr:col>22</xdr:col>
      <xdr:colOff>283176</xdr:colOff>
      <xdr:row>68</xdr:row>
      <xdr:rowOff>51486</xdr:rowOff>
    </xdr:to>
    <xdr:cxnSp macro="">
      <xdr:nvCxnSpPr>
        <xdr:cNvPr id="9" name="Straight Connector 8">
          <a:extLst>
            <a:ext uri="{FF2B5EF4-FFF2-40B4-BE49-F238E27FC236}">
              <a16:creationId xmlns:a16="http://schemas.microsoft.com/office/drawing/2014/main" id="{BA3A2ABA-83CD-4F8E-AAB3-70A9920AC687}"/>
            </a:ext>
          </a:extLst>
        </xdr:cNvPr>
        <xdr:cNvCxnSpPr/>
      </xdr:nvCxnSpPr>
      <xdr:spPr>
        <a:xfrm>
          <a:off x="12318141" y="19204460"/>
          <a:ext cx="1274292" cy="1866384"/>
        </a:xfrm>
        <a:prstGeom prst="line">
          <a:avLst/>
        </a:prstGeom>
        <a:ln w="57150">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268246</xdr:colOff>
      <xdr:row>59</xdr:row>
      <xdr:rowOff>244560</xdr:rowOff>
    </xdr:from>
    <xdr:to>
      <xdr:col>24</xdr:col>
      <xdr:colOff>553480</xdr:colOff>
      <xdr:row>68</xdr:row>
      <xdr:rowOff>10814</xdr:rowOff>
    </xdr:to>
    <xdr:cxnSp macro="">
      <xdr:nvCxnSpPr>
        <xdr:cNvPr id="12" name="Straight Connector 11">
          <a:extLst>
            <a:ext uri="{FF2B5EF4-FFF2-40B4-BE49-F238E27FC236}">
              <a16:creationId xmlns:a16="http://schemas.microsoft.com/office/drawing/2014/main" id="{51E64848-02F5-4E25-A11A-C827FC061F7E}"/>
            </a:ext>
          </a:extLst>
        </xdr:cNvPr>
        <xdr:cNvCxnSpPr/>
      </xdr:nvCxnSpPr>
      <xdr:spPr>
        <a:xfrm flipH="1">
          <a:off x="13577503" y="18251959"/>
          <a:ext cx="1495166" cy="2778213"/>
        </a:xfrm>
        <a:prstGeom prst="line">
          <a:avLst/>
        </a:prstGeom>
        <a:ln w="57150">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266187</xdr:colOff>
      <xdr:row>62</xdr:row>
      <xdr:rowOff>176084</xdr:rowOff>
    </xdr:from>
    <xdr:to>
      <xdr:col>23</xdr:col>
      <xdr:colOff>579223</xdr:colOff>
      <xdr:row>62</xdr:row>
      <xdr:rowOff>180202</xdr:rowOff>
    </xdr:to>
    <xdr:cxnSp macro="">
      <xdr:nvCxnSpPr>
        <xdr:cNvPr id="15" name="Straight Connector 14">
          <a:extLst>
            <a:ext uri="{FF2B5EF4-FFF2-40B4-BE49-F238E27FC236}">
              <a16:creationId xmlns:a16="http://schemas.microsoft.com/office/drawing/2014/main" id="{06DF347D-CFA1-4932-A494-B20006EC20FC}"/>
            </a:ext>
          </a:extLst>
        </xdr:cNvPr>
        <xdr:cNvCxnSpPr/>
      </xdr:nvCxnSpPr>
      <xdr:spPr>
        <a:xfrm flipH="1" flipV="1">
          <a:off x="12365511" y="19187469"/>
          <a:ext cx="2127935" cy="4118"/>
        </a:xfrm>
        <a:prstGeom prst="line">
          <a:avLst/>
        </a:prstGeom>
        <a:ln w="57150">
          <a:solidFill>
            <a:schemeClr val="tx2">
              <a:lumMod val="75000"/>
              <a:lumOff val="25000"/>
            </a:schemeClr>
          </a:solidFill>
        </a:ln>
      </xdr:spPr>
      <xdr:style>
        <a:lnRef idx="2">
          <a:schemeClr val="dk1"/>
        </a:lnRef>
        <a:fillRef idx="0">
          <a:schemeClr val="dk1"/>
        </a:fillRef>
        <a:effectRef idx="1">
          <a:schemeClr val="dk1"/>
        </a:effectRef>
        <a:fontRef idx="minor">
          <a:schemeClr val="tx1"/>
        </a:fontRef>
      </xdr:style>
    </xdr:cxnSp>
    <xdr:clientData/>
  </xdr:twoCellAnchor>
  <xdr:oneCellAnchor>
    <xdr:from>
      <xdr:col>16</xdr:col>
      <xdr:colOff>321791</xdr:colOff>
      <xdr:row>70</xdr:row>
      <xdr:rowOff>270305</xdr:rowOff>
    </xdr:from>
    <xdr:ext cx="1046440" cy="264560"/>
    <xdr:sp macro="" textlink="">
      <xdr:nvSpPr>
        <xdr:cNvPr id="19" name="TextBox 18">
          <a:extLst>
            <a:ext uri="{FF2B5EF4-FFF2-40B4-BE49-F238E27FC236}">
              <a16:creationId xmlns:a16="http://schemas.microsoft.com/office/drawing/2014/main" id="{E9B96D85-027D-1147-4D67-5A860074DC0D}"/>
            </a:ext>
          </a:extLst>
        </xdr:cNvPr>
        <xdr:cNvSpPr txBox="1"/>
      </xdr:nvSpPr>
      <xdr:spPr>
        <a:xfrm>
          <a:off x="10001250" y="21958987"/>
          <a:ext cx="1046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INTIAL CAPITAL</a:t>
          </a:r>
        </a:p>
      </xdr:txBody>
    </xdr:sp>
    <xdr:clientData/>
  </xdr:oneCellAnchor>
  <xdr:oneCellAnchor>
    <xdr:from>
      <xdr:col>18</xdr:col>
      <xdr:colOff>346307</xdr:colOff>
      <xdr:row>63</xdr:row>
      <xdr:rowOff>226772</xdr:rowOff>
    </xdr:from>
    <xdr:ext cx="264560" cy="1209443"/>
    <xdr:sp macro="" textlink="">
      <xdr:nvSpPr>
        <xdr:cNvPr id="23" name="TextBox 22">
          <a:extLst>
            <a:ext uri="{FF2B5EF4-FFF2-40B4-BE49-F238E27FC236}">
              <a16:creationId xmlns:a16="http://schemas.microsoft.com/office/drawing/2014/main" id="{D2B4BC3F-50A8-5942-F138-7A18FC62E3C4}"/>
            </a:ext>
          </a:extLst>
        </xdr:cNvPr>
        <xdr:cNvSpPr txBox="1"/>
      </xdr:nvSpPr>
      <xdr:spPr>
        <a:xfrm rot="18253678">
          <a:off x="10763257" y="20045261"/>
          <a:ext cx="12094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PROFIT PHASE</a:t>
          </a:r>
        </a:p>
      </xdr:txBody>
    </xdr:sp>
    <xdr:clientData/>
  </xdr:oneCellAnchor>
  <xdr:oneCellAnchor>
    <xdr:from>
      <xdr:col>22</xdr:col>
      <xdr:colOff>537345</xdr:colOff>
      <xdr:row>63</xdr:row>
      <xdr:rowOff>15289</xdr:rowOff>
    </xdr:from>
    <xdr:ext cx="264560" cy="1143261"/>
    <xdr:sp macro="" textlink="">
      <xdr:nvSpPr>
        <xdr:cNvPr id="24" name="TextBox 23">
          <a:extLst>
            <a:ext uri="{FF2B5EF4-FFF2-40B4-BE49-F238E27FC236}">
              <a16:creationId xmlns:a16="http://schemas.microsoft.com/office/drawing/2014/main" id="{55F7D18E-DE7B-4114-ADFA-50CC4C4648EA}"/>
            </a:ext>
          </a:extLst>
        </xdr:cNvPr>
        <xdr:cNvSpPr txBox="1"/>
      </xdr:nvSpPr>
      <xdr:spPr>
        <a:xfrm rot="17960246">
          <a:off x="13407251" y="19800687"/>
          <a:ext cx="11432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PROFIT PHASE</a:t>
          </a:r>
        </a:p>
      </xdr:txBody>
    </xdr:sp>
    <xdr:clientData/>
  </xdr:oneCellAnchor>
  <xdr:oneCellAnchor>
    <xdr:from>
      <xdr:col>20</xdr:col>
      <xdr:colOff>553480</xdr:colOff>
      <xdr:row>64</xdr:row>
      <xdr:rowOff>38616</xdr:rowOff>
    </xdr:from>
    <xdr:ext cx="264560" cy="1209443"/>
    <xdr:sp macro="" textlink="">
      <xdr:nvSpPr>
        <xdr:cNvPr id="25" name="TextBox 24">
          <a:extLst>
            <a:ext uri="{FF2B5EF4-FFF2-40B4-BE49-F238E27FC236}">
              <a16:creationId xmlns:a16="http://schemas.microsoft.com/office/drawing/2014/main" id="{60FA3ADC-31B5-4054-8177-87991C372C0B}"/>
            </a:ext>
          </a:extLst>
        </xdr:cNvPr>
        <xdr:cNvSpPr txBox="1"/>
      </xdr:nvSpPr>
      <xdr:spPr>
        <a:xfrm rot="3248239">
          <a:off x="12180362" y="20191767"/>
          <a:ext cx="12094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LOSSING</a:t>
          </a:r>
          <a:r>
            <a:rPr lang="en-IN" sz="1100" baseline="0"/>
            <a:t> </a:t>
          </a:r>
          <a:r>
            <a:rPr lang="en-IN" sz="1100"/>
            <a:t> PHASE</a:t>
          </a:r>
        </a:p>
      </xdr:txBody>
    </xdr:sp>
    <xdr:clientData/>
  </xdr:oneCellAnchor>
  <xdr:oneCellAnchor>
    <xdr:from>
      <xdr:col>20</xdr:col>
      <xdr:colOff>355579</xdr:colOff>
      <xdr:row>60</xdr:row>
      <xdr:rowOff>85130</xdr:rowOff>
    </xdr:from>
    <xdr:ext cx="1915284" cy="280205"/>
    <xdr:sp macro="" textlink="">
      <xdr:nvSpPr>
        <xdr:cNvPr id="26" name="TextBox 25">
          <a:extLst>
            <a:ext uri="{FF2B5EF4-FFF2-40B4-BE49-F238E27FC236}">
              <a16:creationId xmlns:a16="http://schemas.microsoft.com/office/drawing/2014/main" id="{59AF12C1-6EAE-4837-8D3E-E0CE401E4C95}"/>
            </a:ext>
          </a:extLst>
        </xdr:cNvPr>
        <xdr:cNvSpPr txBox="1"/>
      </xdr:nvSpPr>
      <xdr:spPr>
        <a:xfrm>
          <a:off x="12499954" y="18361224"/>
          <a:ext cx="19152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u="sng"/>
            <a:t>INCREASE QUANTITY</a:t>
          </a:r>
          <a:r>
            <a:rPr lang="en-IN" sz="1200" b="1" u="sng" baseline="0"/>
            <a:t> SIZE</a:t>
          </a:r>
          <a:r>
            <a:rPr lang="en-IN" sz="1200" b="1" u="sng"/>
            <a:t> </a:t>
          </a:r>
        </a:p>
      </xdr:txBody>
    </xdr:sp>
    <xdr:clientData/>
  </xdr:oneCellAnchor>
  <xdr:twoCellAnchor>
    <xdr:from>
      <xdr:col>22</xdr:col>
      <xdr:colOff>273843</xdr:colOff>
      <xdr:row>61</xdr:row>
      <xdr:rowOff>47625</xdr:rowOff>
    </xdr:from>
    <xdr:to>
      <xdr:col>23</xdr:col>
      <xdr:colOff>547688</xdr:colOff>
      <xdr:row>62</xdr:row>
      <xdr:rowOff>107156</xdr:rowOff>
    </xdr:to>
    <xdr:cxnSp macro="">
      <xdr:nvCxnSpPr>
        <xdr:cNvPr id="29" name="Straight Arrow Connector 28">
          <a:extLst>
            <a:ext uri="{FF2B5EF4-FFF2-40B4-BE49-F238E27FC236}">
              <a16:creationId xmlns:a16="http://schemas.microsoft.com/office/drawing/2014/main" id="{1B163067-FA41-4A8E-61DD-C9D99B9506D3}"/>
            </a:ext>
          </a:extLst>
        </xdr:cNvPr>
        <xdr:cNvCxnSpPr/>
      </xdr:nvCxnSpPr>
      <xdr:spPr>
        <a:xfrm>
          <a:off x="13632656" y="18657094"/>
          <a:ext cx="881063" cy="39290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250031</xdr:colOff>
      <xdr:row>63</xdr:row>
      <xdr:rowOff>11906</xdr:rowOff>
    </xdr:from>
    <xdr:to>
      <xdr:col>19</xdr:col>
      <xdr:colOff>595313</xdr:colOff>
      <xdr:row>64</xdr:row>
      <xdr:rowOff>285750</xdr:rowOff>
    </xdr:to>
    <xdr:cxnSp macro="">
      <xdr:nvCxnSpPr>
        <xdr:cNvPr id="34" name="Straight Arrow Connector 33">
          <a:extLst>
            <a:ext uri="{FF2B5EF4-FFF2-40B4-BE49-F238E27FC236}">
              <a16:creationId xmlns:a16="http://schemas.microsoft.com/office/drawing/2014/main" id="{CF3FEB10-6412-E5BB-B7C0-3BEDCEEFB9FF}"/>
            </a:ext>
          </a:extLst>
        </xdr:cNvPr>
        <xdr:cNvCxnSpPr/>
      </xdr:nvCxnSpPr>
      <xdr:spPr>
        <a:xfrm flipH="1">
          <a:off x="7536656" y="19288125"/>
          <a:ext cx="4595813" cy="607219"/>
        </a:xfrm>
        <a:prstGeom prst="straightConnector1">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8</xdr:col>
      <xdr:colOff>381000</xdr:colOff>
      <xdr:row>64</xdr:row>
      <xdr:rowOff>321469</xdr:rowOff>
    </xdr:from>
    <xdr:ext cx="4411529" cy="280205"/>
    <xdr:sp macro="" textlink="">
      <xdr:nvSpPr>
        <xdr:cNvPr id="35" name="TextBox 34">
          <a:extLst>
            <a:ext uri="{FF2B5EF4-FFF2-40B4-BE49-F238E27FC236}">
              <a16:creationId xmlns:a16="http://schemas.microsoft.com/office/drawing/2014/main" id="{53468B3A-987A-6E90-A28E-6B2F981FD9CB}"/>
            </a:ext>
          </a:extLst>
        </xdr:cNvPr>
        <xdr:cNvSpPr txBox="1"/>
      </xdr:nvSpPr>
      <xdr:spPr>
        <a:xfrm>
          <a:off x="5238750" y="19931063"/>
          <a:ext cx="44115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MOSTLY</a:t>
          </a:r>
          <a:r>
            <a:rPr lang="en-IN" sz="1200" b="1" baseline="0"/>
            <a:t> PEOPLE ADDED HERE AND ENDED LOSING THERE PROFITS</a:t>
          </a:r>
          <a:endParaRPr lang="en-IN" sz="12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3.914204398148" createdVersion="8" refreshedVersion="8" minRefreshableVersion="3" recordCount="1" xr:uid="{798C80A6-7ECA-4EE3-8876-C6AEA930AD53}">
  <cacheSource type="worksheet">
    <worksheetSource ref="C6:W7" sheet="TRADE ENTRY"/>
  </cacheSource>
  <cacheFields count="21">
    <cacheField name="CAPITAL" numFmtId="167">
      <sharedItems containsSemiMixedTypes="0" containsString="0" containsNumber="1" containsInteger="1" minValue="9000" maxValue="9000"/>
    </cacheField>
    <cacheField name="END BALANCE" numFmtId="167">
      <sharedItems containsSemiMixedTypes="0" containsString="0" containsNumber="1" containsInteger="1" minValue="11605" maxValue="11605"/>
    </cacheField>
    <cacheField name="TOTAL GAINS" numFmtId="167">
      <sharedItems containsSemiMixedTypes="0" containsString="0" containsNumber="1" containsInteger="1" minValue="11430" maxValue="11430"/>
    </cacheField>
    <cacheField name="TOTAL LOSS" numFmtId="167">
      <sharedItems containsSemiMixedTypes="0" containsString="0" containsNumber="1" containsInteger="1" minValue="8825" maxValue="8825"/>
    </cacheField>
    <cacheField name="OVERALL" numFmtId="167">
      <sharedItems containsSemiMixedTypes="0" containsString="0" containsNumber="1" containsInteger="1" minValue="2605" maxValue="2605"/>
    </cacheField>
    <cacheField name="OVERALL %" numFmtId="10">
      <sharedItems containsSemiMixedTypes="0" containsString="0" containsNumber="1" minValue="0.28944444444444445" maxValue="0.28944444444444445"/>
    </cacheField>
    <cacheField name="TOTAL TRADES" numFmtId="0">
      <sharedItems containsSemiMixedTypes="0" containsString="0" containsNumber="1" containsInteger="1" minValue="120" maxValue="120"/>
    </cacheField>
    <cacheField name="TOTAL WINS" numFmtId="0">
      <sharedItems containsSemiMixedTypes="0" containsString="0" containsNumber="1" containsInteger="1" minValue="66" maxValue="66"/>
    </cacheField>
    <cacheField name="TOTAL LOSSES" numFmtId="0">
      <sharedItems containsSemiMixedTypes="0" containsString="0" containsNumber="1" containsInteger="1" minValue="54" maxValue="54"/>
    </cacheField>
    <cacheField name="WINNING %" numFmtId="10">
      <sharedItems containsSemiMixedTypes="0" containsString="0" containsNumber="1" minValue="0.55000000000000004" maxValue="0.55000000000000004"/>
    </cacheField>
    <cacheField name="PROFIT FACTOR" numFmtId="2">
      <sharedItems containsSemiMixedTypes="0" containsString="0" containsNumber="1" minValue="1.2951841359773371" maxValue="1.2951841359773371"/>
    </cacheField>
    <cacheField name="AVERAGE PROFIT" numFmtId="10">
      <sharedItems containsSemiMixedTypes="0" containsString="0" containsNumber="1" minValue="1.9242424242424241E-2" maxValue="1.9242424242424241E-2"/>
    </cacheField>
    <cacheField name="AVERAGE RISK" numFmtId="10">
      <sharedItems containsSemiMixedTypes="0" containsString="0" containsNumber="1" minValue="1.8158436213991769E-2" maxValue="1.8158436213991769E-2"/>
    </cacheField>
    <cacheField name="MAXIMUM PROFIT" numFmtId="167">
      <sharedItems containsSemiMixedTypes="0" containsString="0" containsNumber="1" containsInteger="1" minValue="520" maxValue="520"/>
    </cacheField>
    <cacheField name="MAXIMUM LOSS" numFmtId="167">
      <sharedItems containsSemiMixedTypes="0" containsString="0" containsNumber="1" containsInteger="1" minValue="220" maxValue="220"/>
    </cacheField>
    <cacheField name="AVERAGE PROFIT2" numFmtId="167">
      <sharedItems containsSemiMixedTypes="0" containsString="0" containsNumber="1" minValue="173.18181818181819" maxValue="173.18181818181819"/>
    </cacheField>
    <cacheField name="AVERAGE LOSS" numFmtId="167">
      <sharedItems containsSemiMixedTypes="0" containsString="0" containsNumber="1" minValue="163.42592592592592" maxValue="163.42592592592592"/>
    </cacheField>
    <cacheField name="AVERAGE WIN TIMING" numFmtId="169">
      <sharedItems containsSemiMixedTypes="0" containsNonDate="0" containsDate="1" containsString="0" minDate="1899-12-30T00:20:09" maxDate="1899-12-30T00:20:09"/>
    </cacheField>
    <cacheField name="AVG MARKET REWARD" numFmtId="2">
      <sharedItems containsSemiMixedTypes="0" containsString="0" containsNumber="1" minValue="3.45" maxValue="3.45"/>
    </cacheField>
    <cacheField name="WINNING STREAK" numFmtId="0">
      <sharedItems containsSemiMixedTypes="0" containsString="0" containsNumber="1" containsInteger="1" minValue="7" maxValue="7"/>
    </cacheField>
    <cacheField name=" LOSSING STREAK" numFmtId="0">
      <sharedItems containsSemiMixedTypes="0" containsString="0" containsNumber="1" containsInteger="1" minValue="4" maxValue="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3.914205671295" createdVersion="8" refreshedVersion="8" minRefreshableVersion="3" recordCount="497" xr:uid="{DDD60589-2DB8-4985-B2B2-31D3D9642E82}">
  <cacheSource type="worksheet">
    <worksheetSource ref="B10:W1048576" sheet="TRADE ENTRY"/>
  </cacheSource>
  <cacheFields count="22">
    <cacheField name="NO" numFmtId="0">
      <sharedItems containsString="0" containsBlank="1" containsNumber="1" containsInteger="1" minValue="1" maxValue="120"/>
    </cacheField>
    <cacheField name="DATE" numFmtId="0">
      <sharedItems containsNonDate="0" containsDate="1" containsString="0" containsBlank="1" minDate="2024-02-03T00:00:00" maxDate="2024-06-29T00:00:00"/>
    </cacheField>
    <cacheField name="DAY" numFmtId="0">
      <sharedItems containsBlank="1" count="8">
        <m/>
        <s v="MONDAY"/>
        <s v="TUESDAY"/>
        <s v="WEDNESDAY"/>
        <s v="THURSDAY"/>
        <s v="FRIDAY"/>
        <s v="SATURDAY" u="1"/>
        <s v="SUNDAY" u="1"/>
      </sharedItems>
    </cacheField>
    <cacheField name="STOCK NAME" numFmtId="0">
      <sharedItems containsBlank="1" count="13">
        <m/>
        <s v="TATA MOTORS"/>
        <s v="RELIANCE"/>
        <s v="HDFC BANK"/>
        <s v="INFY"/>
        <s v="TCS"/>
        <s v="SBI"/>
        <s v="MARUTI"/>
        <s v="HDFC"/>
        <s v="Wipro"/>
        <s v="Infosys"/>
        <s v="ICIC BANK" u="1"/>
        <s v="AXIS BANK" u="1"/>
      </sharedItems>
    </cacheField>
    <cacheField name="ENTRY PRICE" numFmtId="0">
      <sharedItems containsString="0" containsBlank="1" containsNumber="1" minValue="360.5" maxValue="9815"/>
    </cacheField>
    <cacheField name="EXIT PRICE" numFmtId="0">
      <sharedItems containsString="0" containsBlank="1" containsNumber="1" minValue="365" maxValue="9825.75"/>
    </cacheField>
    <cacheField name="ENTRY TIMING" numFmtId="0">
      <sharedItems containsDate="1" containsBlank="1" containsMixedTypes="1" minDate="1899-12-30T09:40:00" maxDate="1899-12-30T11:10:00"/>
    </cacheField>
    <cacheField name="EXIT TIMING" numFmtId="0">
      <sharedItems containsNonDate="0" containsDate="1" containsString="0" containsBlank="1" minDate="1899-12-30T10:00:00" maxDate="1899-12-30T11:30:00"/>
    </cacheField>
    <cacheField name="LONG / SHORT" numFmtId="0">
      <sharedItems containsBlank="1" count="3">
        <m/>
        <s v="SHORT"/>
        <s v="LONG"/>
      </sharedItems>
    </cacheField>
    <cacheField name="STRATEGY NAME" numFmtId="0">
      <sharedItems containsBlank="1" count="33">
        <m/>
        <s v="Breakout"/>
        <s v="Reversal"/>
        <s v="Smart Money"/>
        <s v="RANDOM" u="1"/>
        <s v="STRATEGY Y" u="1"/>
        <s v="STRATEGY Z" u="1"/>
        <s v="STRATEGY A" u="1"/>
        <s v="STRATEGY B" u="1"/>
        <s v="STRATEGY C" u="1"/>
        <s v="STRATEGY D" u="1"/>
        <s v="STRATEGY E" u="1"/>
        <s v="STRATEGY F" u="1"/>
        <s v="STRATEGY G" u="1"/>
        <s v="STRATEGY H" u="1"/>
        <s v="STRATEGY I" u="1"/>
        <s v="STRATEGY J" u="1"/>
        <s v="STRATEGY K" u="1"/>
        <s v="STRATEGY L" u="1"/>
        <s v="STRATEGY M" u="1"/>
        <s v="STRATEGY N" u="1"/>
        <s v="STRATEGY O" u="1"/>
        <s v="STRATEGY P" u="1"/>
        <s v="STRATEGY Q" u="1"/>
        <s v="STRATEGY R" u="1"/>
        <s v="STRATEGY S" u="1"/>
        <s v="STRATEGY U" u="1"/>
        <s v="STRATEGY V" u="1"/>
        <s v="STRATEGY W" u="1"/>
        <s v="STRATEGY X" u="1"/>
        <s v="PULLBACK" u="1"/>
        <s v="NO SETUP" u="1"/>
        <s v="BOS" u="1"/>
      </sharedItems>
    </cacheField>
    <cacheField name="RISK" numFmtId="0">
      <sharedItems containsBlank="1" containsMixedTypes="1" containsNumber="1" containsInteger="1" minValue="105" maxValue="150"/>
    </cacheField>
    <cacheField name="QUANTITY" numFmtId="0">
      <sharedItems containsString="0" containsBlank="1" containsNumber="1" containsInteger="1" minValue="20" maxValue="50"/>
    </cacheField>
    <cacheField name="WIN / LOSS" numFmtId="0">
      <sharedItems containsBlank="1" count="3">
        <m/>
        <s v="W"/>
        <s v="L"/>
      </sharedItems>
    </cacheField>
    <cacheField name="TARGET / STOPLOSS" numFmtId="0">
      <sharedItems containsBlank="1"/>
    </cacheField>
    <cacheField name="PROFIT / LOSS" numFmtId="0">
      <sharedItems containsString="0" containsBlank="1" containsNumber="1" containsInteger="1" minValue="0" maxValue="520"/>
    </cacheField>
    <cacheField name="RISK : REWARD" numFmtId="0">
      <sharedItems containsBlank="1" containsMixedTypes="1" containsNumber="1" minValue="-2" maxValue="4.5217391304347823"/>
    </cacheField>
    <cacheField name="CAPITAL" numFmtId="166">
      <sharedItems containsString="0" containsBlank="1" containsNumber="1" containsInteger="1" minValue="9000" maxValue="29255"/>
    </cacheField>
    <cacheField name="WEEKLY REPORT" numFmtId="0">
      <sharedItems containsNonDate="0" containsString="0" containsBlank="1"/>
    </cacheField>
    <cacheField name="CHART HYPERLINK" numFmtId="0">
      <sharedItems containsNonDate="0" containsString="0" containsBlank="1"/>
    </cacheField>
    <cacheField name="REWARD BY MARKET" numFmtId="0">
      <sharedItems containsString="0" containsBlank="1" containsNumber="1" minValue="2" maxValue="5"/>
    </cacheField>
    <cacheField name="REMARKS" numFmtId="0">
      <sharedItems containsNonDate="0" containsString="0" containsBlank="1"/>
    </cacheField>
    <cacheField name="LEARNING" numFmtId="0">
      <sharedItems containsBlank="1"/>
    </cacheField>
  </cacheFields>
  <extLst>
    <ext xmlns:x14="http://schemas.microsoft.com/office/spreadsheetml/2009/9/main" uri="{725AE2AE-9491-48be-B2B4-4EB974FC3084}">
      <x14:pivotCacheDefinition pivotCacheId="163874385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3.914207870374" createdVersion="8" refreshedVersion="8" minRefreshableVersion="3" recordCount="497" xr:uid="{2D2C0774-F57E-426D-952F-BF1CA944EB85}">
  <cacheSource type="worksheet">
    <worksheetSource ref="Y10:AC1048576" sheet="TRADE ENTRY"/>
  </cacheSource>
  <cacheFields count="5">
    <cacheField name="NO" numFmtId="0">
      <sharedItems containsString="0" containsBlank="1" containsNumber="1" containsInteger="1" minValue="1" maxValue="107"/>
    </cacheField>
    <cacheField name="DATE" numFmtId="0">
      <sharedItems containsNonDate="0" containsDate="1" containsString="0" containsBlank="1" minDate="2024-02-03T00:00:00" maxDate="2025-02-26T00:00:00" count="124">
        <m/>
        <d v="2024-02-03T00:00:00"/>
        <d v="2024-02-04T00:00:00"/>
        <d v="2024-02-05T00:00:00"/>
        <d v="2024-02-06T00:00:00"/>
        <d v="2024-02-07T00:00:00"/>
        <d v="2024-02-10T00:00:00"/>
        <d v="2024-02-11T00:00:00"/>
        <d v="2024-02-12T00:00:00"/>
        <d v="2024-02-13T00:00:00"/>
        <d v="2024-02-14T00:00:00"/>
        <d v="2024-02-17T00:00:00"/>
        <d v="2024-02-18T00:00:00"/>
        <d v="2024-02-19T00:00:00"/>
        <d v="2024-02-20T00:00:00"/>
        <d v="2024-02-21T00:00:00"/>
        <d v="2024-02-24T00:00:00"/>
        <d v="2024-02-25T00:00:00"/>
        <d v="2024-02-26T00:00:00"/>
        <d v="2024-02-27T00:00:00"/>
        <d v="2024-02-28T00:00:00"/>
        <d v="2024-03-01T00:00:00"/>
        <d v="2024-03-02T00:00:00"/>
        <d v="2024-03-03T00:00:00"/>
        <d v="2024-03-04T00:00:00"/>
        <d v="2024-03-05T00:00:00"/>
        <d v="2024-03-08T00:00:00"/>
        <d v="2024-03-09T00:00:00"/>
        <d v="2024-03-10T00:00:00"/>
        <d v="2024-03-11T00:00:00"/>
        <d v="2024-03-12T00:00:00"/>
        <d v="2024-03-15T00:00:00"/>
        <d v="2024-03-16T00:00:00"/>
        <d v="2024-03-17T00:00:00"/>
        <d v="2024-03-18T00:00:00"/>
        <d v="2024-03-19T00:00:00"/>
        <d v="2024-03-22T00:00:00"/>
        <d v="2024-03-23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5-02-03T00:00:00" u="1"/>
        <d v="2025-02-04T00:00:00" u="1"/>
        <d v="2025-02-05T00:00:00" u="1"/>
        <d v="2025-02-06T00:00:00" u="1"/>
        <d v="2025-02-07T00:00:00" u="1"/>
        <d v="2025-02-10T00:00:00" u="1"/>
        <d v="2025-02-12T00:00:00" u="1"/>
        <d v="2025-02-13T00:00:00" u="1"/>
        <d v="2025-02-14T00:00:00" u="1"/>
        <d v="2025-02-17T00:00:00" u="1"/>
        <d v="2025-02-18T00:00:00" u="1"/>
        <d v="2025-02-19T00:00:00" u="1"/>
        <d v="2025-02-20T00:00:00" u="1"/>
        <d v="2025-02-21T00:00:00" u="1"/>
        <d v="2025-02-24T00:00:00" u="1"/>
        <d v="2025-02-25T00:00:00" u="1"/>
      </sharedItems>
    </cacheField>
    <cacheField name="PROFIT / LOSS" numFmtId="0">
      <sharedItems containsString="0" containsBlank="1" containsNumber="1" containsInteger="1" minValue="-310" maxValue="520"/>
    </cacheField>
    <cacheField name="DAILY PNL" numFmtId="0">
      <sharedItems containsString="0" containsBlank="1" containsNumber="1" containsInteger="1" minValue="8840" maxValue="11765"/>
    </cacheField>
    <cacheField name="MONTH" numFmtId="0">
      <sharedItems containsBlank="1" count="8">
        <m/>
        <s v="Feb 2024"/>
        <s v="Mar 2024"/>
        <s v="Apr 2024"/>
        <s v="May 2024"/>
        <s v="Jun 2024"/>
        <s v="Jan 1900" u="1"/>
        <s v="Feb 2025" u="1"/>
      </sharedItems>
    </cacheField>
  </cacheFields>
  <extLst>
    <ext xmlns:x14="http://schemas.microsoft.com/office/spreadsheetml/2009/9/main" uri="{725AE2AE-9491-48be-B2B4-4EB974FC3084}">
      <x14:pivotCacheDefinition pivotCacheId="75716969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3.914208101851" createdVersion="8" refreshedVersion="8" minRefreshableVersion="3" recordCount="1" xr:uid="{F875D380-B772-4F28-99AA-C012D777E73F}">
  <cacheSource type="worksheet">
    <worksheetSource ref="U6:U7" sheet="TRADE ENTRY"/>
  </cacheSource>
  <cacheFields count="1">
    <cacheField name="AVG MARKET REWARD" numFmtId="2">
      <sharedItems containsSemiMixedTypes="0" containsString="0" containsNumber="1" minValue="3.45" maxValue="3.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9000"/>
    <n v="11605"/>
    <n v="11430"/>
    <n v="8825"/>
    <n v="2605"/>
    <n v="0.28944444444444445"/>
    <n v="120"/>
    <n v="66"/>
    <n v="54"/>
    <n v="0.55000000000000004"/>
    <n v="1.2951841359773371"/>
    <n v="1.9242424242424241E-2"/>
    <n v="1.8158436213991769E-2"/>
    <n v="520"/>
    <n v="220"/>
    <n v="173.18181818181819"/>
    <n v="163.42592592592592"/>
    <d v="1899-12-30T00:20:09"/>
    <n v="3.45"/>
    <n v="7"/>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m/>
    <m/>
    <x v="0"/>
    <x v="0"/>
    <m/>
    <m/>
    <s v="USE ONLY 24 HOUR FORMAT"/>
    <m/>
    <x v="0"/>
    <x v="0"/>
    <s v="USE ONLY  2%"/>
    <m/>
    <x v="0"/>
    <m/>
    <m/>
    <s v="MIN 1:3"/>
    <n v="9000"/>
    <m/>
    <m/>
    <m/>
    <m/>
    <m/>
  </r>
  <r>
    <m/>
    <m/>
    <x v="0"/>
    <x v="0"/>
    <m/>
    <m/>
    <m/>
    <m/>
    <x v="0"/>
    <x v="0"/>
    <m/>
    <m/>
    <x v="1"/>
    <m/>
    <n v="0"/>
    <e v="#DIV/0!"/>
    <n v="9000"/>
    <m/>
    <m/>
    <m/>
    <m/>
    <s v="PSW - VK123"/>
  </r>
  <r>
    <n v="1"/>
    <d v="2024-02-03T00:00:00"/>
    <x v="1"/>
    <x v="1"/>
    <n v="689.15"/>
    <n v="691.9"/>
    <d v="1899-12-30T10:25:00"/>
    <d v="1899-12-30T10:40:00"/>
    <x v="1"/>
    <x v="1"/>
    <n v="110"/>
    <n v="40"/>
    <x v="2"/>
    <s v="STOPLOSS"/>
    <n v="160"/>
    <n v="-1.4545454545454546"/>
    <n v="9160"/>
    <m/>
    <m/>
    <m/>
    <m/>
    <m/>
  </r>
  <r>
    <n v="2"/>
    <d v="2024-02-04T00:00:00"/>
    <x v="2"/>
    <x v="2"/>
    <n v="2300.4499999999998"/>
    <n v="2312.75"/>
    <d v="1899-12-30T11:10:00"/>
    <d v="1899-12-30T11:30:00"/>
    <x v="2"/>
    <x v="1"/>
    <n v="150"/>
    <n v="30"/>
    <x v="1"/>
    <s v="TARGET"/>
    <n v="200"/>
    <n v="1.3333333333333333"/>
    <n v="9360"/>
    <m/>
    <m/>
    <n v="2"/>
    <m/>
    <m/>
  </r>
  <r>
    <n v="3"/>
    <d v="2024-02-05T00:00:00"/>
    <x v="3"/>
    <x v="3"/>
    <n v="1605.25"/>
    <n v="1610.75"/>
    <d v="1899-12-30T09:45:00"/>
    <d v="1899-12-30T10:00:00"/>
    <x v="1"/>
    <x v="2"/>
    <n v="120"/>
    <n v="50"/>
    <x v="1"/>
    <s v="TARGET"/>
    <n v="180"/>
    <n v="1.5"/>
    <n v="9540"/>
    <m/>
    <m/>
    <n v="3"/>
    <m/>
    <m/>
  </r>
  <r>
    <n v="4"/>
    <d v="2024-02-06T00:00:00"/>
    <x v="4"/>
    <x v="4"/>
    <n v="1512.3"/>
    <n v="1518.2"/>
    <d v="1899-12-30T10:05:00"/>
    <d v="1899-12-30T10:20:00"/>
    <x v="2"/>
    <x v="2"/>
    <n v="135"/>
    <n v="40"/>
    <x v="2"/>
    <s v="STOPLOSS"/>
    <n v="170"/>
    <n v="-1.2592592592592593"/>
    <n v="9710"/>
    <m/>
    <m/>
    <m/>
    <m/>
    <m/>
  </r>
  <r>
    <n v="5"/>
    <d v="2024-02-07T00:00:00"/>
    <x v="5"/>
    <x v="5"/>
    <n v="3360.5"/>
    <n v="3375.8"/>
    <d v="1899-12-30T10:00:00"/>
    <d v="1899-12-30T10:15:00"/>
    <x v="1"/>
    <x v="3"/>
    <n v="130"/>
    <n v="35"/>
    <x v="2"/>
    <s v="STOPLOSS"/>
    <n v="160"/>
    <n v="-1.2307692307692308"/>
    <n v="9870"/>
    <m/>
    <m/>
    <m/>
    <m/>
    <m/>
  </r>
  <r>
    <n v="6"/>
    <d v="2024-02-07T00:00:00"/>
    <x v="5"/>
    <x v="6"/>
    <n v="595"/>
    <n v="600.5"/>
    <d v="1899-12-30T11:00:00"/>
    <d v="1899-12-30T11:20:00"/>
    <x v="2"/>
    <x v="3"/>
    <n v="125"/>
    <n v="45"/>
    <x v="1"/>
    <s v="BIG PROFIT"/>
    <n v="450"/>
    <n v="3.6"/>
    <n v="10320"/>
    <m/>
    <m/>
    <n v="5"/>
    <m/>
    <m/>
  </r>
  <r>
    <n v="7"/>
    <d v="2024-02-10T00:00:00"/>
    <x v="1"/>
    <x v="7"/>
    <n v="9800"/>
    <n v="9825.75"/>
    <d v="1899-12-30T10:15:00"/>
    <d v="1899-12-30T10:40:00"/>
    <x v="1"/>
    <x v="1"/>
    <n v="140"/>
    <n v="20"/>
    <x v="1"/>
    <s v="TARGET"/>
    <n v="200"/>
    <n v="1.4285714285714286"/>
    <n v="10520"/>
    <m/>
    <m/>
    <n v="3.5"/>
    <m/>
    <m/>
  </r>
  <r>
    <n v="8"/>
    <d v="2024-02-10T00:00:00"/>
    <x v="1"/>
    <x v="3"/>
    <n v="1600.25"/>
    <n v="1615.75"/>
    <d v="1899-12-30T10:05:00"/>
    <d v="1899-12-30T10:25:00"/>
    <x v="2"/>
    <x v="2"/>
    <n v="115"/>
    <n v="50"/>
    <x v="2"/>
    <s v="STOPLOSS"/>
    <n v="175"/>
    <n v="-1.5217391304347827"/>
    <n v="10695"/>
    <m/>
    <m/>
    <m/>
    <m/>
    <m/>
  </r>
  <r>
    <n v="9"/>
    <d v="2024-02-11T00:00:00"/>
    <x v="2"/>
    <x v="4"/>
    <n v="1510.4"/>
    <n v="1516.1"/>
    <d v="1899-12-30T11:10:00"/>
    <d v="1899-12-30T11:30:00"/>
    <x v="1"/>
    <x v="3"/>
    <n v="130"/>
    <n v="40"/>
    <x v="1"/>
    <s v="TARGET"/>
    <n v="180"/>
    <n v="1.3846153846153846"/>
    <n v="10875"/>
    <m/>
    <m/>
    <m/>
    <m/>
    <m/>
  </r>
  <r>
    <n v="10"/>
    <d v="2024-02-12T00:00:00"/>
    <x v="3"/>
    <x v="1"/>
    <n v="690.25"/>
    <n v="695.5"/>
    <d v="1899-12-30T09:50:00"/>
    <d v="1899-12-30T10:05:00"/>
    <x v="2"/>
    <x v="1"/>
    <n v="125"/>
    <n v="30"/>
    <x v="1"/>
    <s v="TARGET"/>
    <n v="160"/>
    <n v="1.28"/>
    <n v="11035"/>
    <m/>
    <m/>
    <m/>
    <m/>
    <m/>
  </r>
  <r>
    <n v="11"/>
    <d v="2024-02-13T00:00:00"/>
    <x v="4"/>
    <x v="2"/>
    <n v="2290"/>
    <n v="2305"/>
    <d v="1899-12-30T10:15:00"/>
    <d v="1899-12-30T10:30:00"/>
    <x v="1"/>
    <x v="2"/>
    <n v="135"/>
    <n v="35"/>
    <x v="2"/>
    <s v="STOPLOSS"/>
    <n v="170"/>
    <n v="-1.2592592592592593"/>
    <n v="11205"/>
    <m/>
    <m/>
    <m/>
    <m/>
    <m/>
  </r>
  <r>
    <n v="12"/>
    <d v="2024-02-14T00:00:00"/>
    <x v="5"/>
    <x v="3"/>
    <n v="1610.8"/>
    <n v="1618"/>
    <d v="1899-12-30T11:05:00"/>
    <d v="1899-12-30T11:20:00"/>
    <x v="2"/>
    <x v="3"/>
    <n v="145"/>
    <n v="30"/>
    <x v="2"/>
    <s v="STOPLOSS"/>
    <n v="160"/>
    <n v="-1.103448275862069"/>
    <n v="11365"/>
    <m/>
    <m/>
    <m/>
    <m/>
    <m/>
  </r>
  <r>
    <n v="13"/>
    <d v="2024-02-14T00:00:00"/>
    <x v="5"/>
    <x v="7"/>
    <n v="9805"/>
    <n v="9812.5"/>
    <d v="1899-12-30T09:40:00"/>
    <d v="1899-12-30T10:00:00"/>
    <x v="1"/>
    <x v="1"/>
    <n v="120"/>
    <n v="25"/>
    <x v="1"/>
    <s v="TARGET"/>
    <n v="150"/>
    <n v="1.25"/>
    <n v="11515"/>
    <m/>
    <m/>
    <m/>
    <m/>
    <m/>
  </r>
  <r>
    <n v="14"/>
    <d v="2024-02-17T00:00:00"/>
    <x v="1"/>
    <x v="5"/>
    <n v="3375"/>
    <n v="3385.5"/>
    <d v="1899-12-30T10:00:00"/>
    <d v="1899-12-30T10:15:00"/>
    <x v="2"/>
    <x v="2"/>
    <n v="125"/>
    <n v="40"/>
    <x v="2"/>
    <s v="STOPLOSS"/>
    <n v="180"/>
    <n v="-1.44"/>
    <n v="11695"/>
    <m/>
    <m/>
    <m/>
    <m/>
    <m/>
  </r>
  <r>
    <n v="15"/>
    <d v="2024-02-17T00:00:00"/>
    <x v="1"/>
    <x v="6"/>
    <n v="600.5"/>
    <n v="603"/>
    <d v="1899-12-30T09:55:00"/>
    <d v="1899-12-30T10:20:00"/>
    <x v="1"/>
    <x v="3"/>
    <n v="130"/>
    <n v="30"/>
    <x v="1"/>
    <s v="TARGET"/>
    <n v="150"/>
    <n v="1.1538461538461537"/>
    <n v="11845"/>
    <m/>
    <m/>
    <n v="2"/>
    <m/>
    <m/>
  </r>
  <r>
    <n v="16"/>
    <d v="2024-02-18T00:00:00"/>
    <x v="2"/>
    <x v="4"/>
    <n v="1520.5"/>
    <n v="1530"/>
    <d v="1899-12-30T10:10:00"/>
    <d v="1899-12-30T10:25:00"/>
    <x v="2"/>
    <x v="1"/>
    <n v="140"/>
    <n v="40"/>
    <x v="1"/>
    <s v="TARGET"/>
    <n v="160"/>
    <n v="1.1428571428571428"/>
    <n v="12005"/>
    <m/>
    <m/>
    <n v="3"/>
    <m/>
    <m/>
  </r>
  <r>
    <n v="17"/>
    <d v="2024-02-19T00:00:00"/>
    <x v="3"/>
    <x v="2"/>
    <n v="2295.8000000000002"/>
    <n v="2310"/>
    <d v="1899-12-30T10:30:00"/>
    <d v="1899-12-30T10:45:00"/>
    <x v="1"/>
    <x v="2"/>
    <n v="125"/>
    <n v="35"/>
    <x v="2"/>
    <s v="STOPLOSS"/>
    <n v="170"/>
    <n v="-1.36"/>
    <n v="12175"/>
    <m/>
    <m/>
    <m/>
    <m/>
    <m/>
  </r>
  <r>
    <n v="18"/>
    <d v="2024-02-20T00:00:00"/>
    <x v="4"/>
    <x v="1"/>
    <n v="690"/>
    <n v="695.5"/>
    <d v="1899-12-30T09:40:00"/>
    <d v="1899-12-30T10:00:00"/>
    <x v="2"/>
    <x v="3"/>
    <n v="110"/>
    <n v="40"/>
    <x v="2"/>
    <s v="BIG LOSS"/>
    <n v="220"/>
    <n v="-2"/>
    <n v="12395"/>
    <m/>
    <m/>
    <m/>
    <m/>
    <m/>
  </r>
  <r>
    <n v="19"/>
    <d v="2024-02-21T00:00:00"/>
    <x v="5"/>
    <x v="3"/>
    <n v="1605"/>
    <n v="1610.5"/>
    <d v="1899-12-30T10:10:00"/>
    <d v="1899-12-30T10:30:00"/>
    <x v="1"/>
    <x v="1"/>
    <n v="130"/>
    <n v="50"/>
    <x v="1"/>
    <s v="TARGET"/>
    <n v="180"/>
    <n v="1.3846153846153846"/>
    <n v="12575"/>
    <m/>
    <m/>
    <m/>
    <m/>
    <m/>
  </r>
  <r>
    <n v="20"/>
    <d v="2024-02-21T00:00:00"/>
    <x v="5"/>
    <x v="7"/>
    <n v="9810.25"/>
    <n v="9825"/>
    <d v="1899-12-30T10:25:00"/>
    <d v="1899-12-30T10:40:00"/>
    <x v="2"/>
    <x v="2"/>
    <n v="120"/>
    <n v="30"/>
    <x v="1"/>
    <s v="TARGET"/>
    <n v="160"/>
    <n v="1.3333333333333333"/>
    <n v="12735"/>
    <m/>
    <m/>
    <m/>
    <m/>
    <m/>
  </r>
  <r>
    <n v="21"/>
    <d v="2024-02-24T00:00:00"/>
    <x v="1"/>
    <x v="5"/>
    <n v="3378.25"/>
    <n v="3388.75"/>
    <d v="1899-12-30T10:00:00"/>
    <d v="1899-12-30T10:15:00"/>
    <x v="1"/>
    <x v="3"/>
    <n v="140"/>
    <n v="40"/>
    <x v="1"/>
    <s v="TARGET"/>
    <n v="160"/>
    <n v="1.1428571428571428"/>
    <n v="12895"/>
    <m/>
    <m/>
    <m/>
    <m/>
    <m/>
  </r>
  <r>
    <n v="22"/>
    <d v="2024-02-24T00:00:00"/>
    <x v="1"/>
    <x v="4"/>
    <n v="1511.5"/>
    <n v="1518.25"/>
    <d v="1899-12-30T09:50:00"/>
    <d v="1899-12-30T10:10:00"/>
    <x v="2"/>
    <x v="1"/>
    <n v="130"/>
    <n v="30"/>
    <x v="1"/>
    <s v="TARGET"/>
    <n v="170"/>
    <n v="1.3076923076923077"/>
    <n v="13065"/>
    <m/>
    <m/>
    <m/>
    <m/>
    <m/>
  </r>
  <r>
    <n v="23"/>
    <d v="2024-02-25T00:00:00"/>
    <x v="2"/>
    <x v="3"/>
    <n v="1610.75"/>
    <n v="1615.25"/>
    <d v="1899-12-30T10:05:00"/>
    <d v="1899-12-30T10:20:00"/>
    <x v="1"/>
    <x v="2"/>
    <n v="125"/>
    <n v="50"/>
    <x v="2"/>
    <s v="STOPLOSS"/>
    <n v="180"/>
    <n v="-1.44"/>
    <n v="13245"/>
    <m/>
    <m/>
    <m/>
    <m/>
    <m/>
  </r>
  <r>
    <n v="24"/>
    <d v="2024-02-26T00:00:00"/>
    <x v="3"/>
    <x v="2"/>
    <n v="2305.1999999999998"/>
    <n v="2312.5"/>
    <d v="1899-12-30T11:10:00"/>
    <d v="1899-12-30T11:30:00"/>
    <x v="2"/>
    <x v="1"/>
    <n v="140"/>
    <n v="40"/>
    <x v="2"/>
    <s v="STOPLOSS"/>
    <n v="200"/>
    <n v="-1.4285714285714286"/>
    <n v="13445"/>
    <m/>
    <m/>
    <m/>
    <m/>
    <m/>
  </r>
  <r>
    <n v="25"/>
    <d v="2024-02-27T00:00:00"/>
    <x v="4"/>
    <x v="1"/>
    <n v="690.75"/>
    <n v="692.5"/>
    <d v="1899-12-30T09:45:00"/>
    <d v="1899-12-30T10:00:00"/>
    <x v="1"/>
    <x v="2"/>
    <n v="120"/>
    <n v="40"/>
    <x v="2"/>
    <s v="TRAILING STOPLOSS"/>
    <n v="50"/>
    <n v="-0.41666666666666669"/>
    <n v="13495"/>
    <m/>
    <m/>
    <m/>
    <m/>
    <m/>
  </r>
  <r>
    <n v="26"/>
    <d v="2024-02-28T00:00:00"/>
    <x v="5"/>
    <x v="7"/>
    <n v="9805"/>
    <n v="9817.25"/>
    <d v="1899-12-30T10:00:00"/>
    <d v="1899-12-30T10:15:00"/>
    <x v="2"/>
    <x v="3"/>
    <n v="130"/>
    <n v="30"/>
    <x v="2"/>
    <s v="STOPLOSS"/>
    <n v="160"/>
    <n v="-1.2307692307692308"/>
    <n v="13655"/>
    <m/>
    <m/>
    <m/>
    <m/>
    <m/>
  </r>
  <r>
    <n v="27"/>
    <d v="2024-02-28T00:00:00"/>
    <x v="5"/>
    <x v="5"/>
    <n v="3360.75"/>
    <n v="3372"/>
    <d v="1899-12-30T10:15:00"/>
    <d v="1899-12-30T10:30:00"/>
    <x v="1"/>
    <x v="1"/>
    <n v="135"/>
    <n v="35"/>
    <x v="1"/>
    <s v="TARGET"/>
    <n v="170"/>
    <n v="1.2592592592592593"/>
    <n v="13825"/>
    <m/>
    <m/>
    <n v="4"/>
    <m/>
    <m/>
  </r>
  <r>
    <n v="28"/>
    <d v="2024-03-01T00:00:00"/>
    <x v="1"/>
    <x v="3"/>
    <n v="1605"/>
    <n v="1612.75"/>
    <d v="1899-12-30T09:55:00"/>
    <d v="1899-12-30T10:10:00"/>
    <x v="2"/>
    <x v="2"/>
    <n v="125"/>
    <n v="40"/>
    <x v="1"/>
    <s v="TARGET"/>
    <n v="180"/>
    <n v="1.44"/>
    <n v="14005"/>
    <m/>
    <m/>
    <m/>
    <m/>
    <m/>
  </r>
  <r>
    <n v="29"/>
    <d v="2024-03-02T00:00:00"/>
    <x v="2"/>
    <x v="6"/>
    <n v="595.25"/>
    <n v="600"/>
    <d v="1899-12-30T10:00:00"/>
    <d v="1899-12-30T10:15:00"/>
    <x v="1"/>
    <x v="3"/>
    <n v="120"/>
    <n v="50"/>
    <x v="2"/>
    <s v="STOPLOSS"/>
    <n v="160"/>
    <n v="-1.3333333333333333"/>
    <n v="14165"/>
    <m/>
    <m/>
    <m/>
    <m/>
    <m/>
  </r>
  <r>
    <n v="30"/>
    <d v="2024-03-03T00:00:00"/>
    <x v="3"/>
    <x v="7"/>
    <n v="9800.25"/>
    <n v="9815"/>
    <d v="1899-12-30T10:10:00"/>
    <d v="1899-12-30T10:25:00"/>
    <x v="2"/>
    <x v="1"/>
    <n v="130"/>
    <n v="35"/>
    <x v="2"/>
    <s v="STOPLOSS"/>
    <n v="150"/>
    <n v="-1.1538461538461537"/>
    <n v="14315"/>
    <m/>
    <m/>
    <m/>
    <m/>
    <m/>
  </r>
  <r>
    <n v="31"/>
    <d v="2024-03-04T00:00:00"/>
    <x v="4"/>
    <x v="2"/>
    <n v="2297.25"/>
    <n v="2305.75"/>
    <d v="1899-12-30T09:55:00"/>
    <d v="1899-12-30T10:20:00"/>
    <x v="1"/>
    <x v="2"/>
    <n v="115"/>
    <n v="40"/>
    <x v="1"/>
    <s v="BIG PROFIT"/>
    <n v="520"/>
    <n v="4.5217391304347823"/>
    <n v="14835"/>
    <m/>
    <m/>
    <m/>
    <m/>
    <m/>
  </r>
  <r>
    <n v="32"/>
    <d v="2024-03-05T00:00:00"/>
    <x v="5"/>
    <x v="4"/>
    <n v="1505.25"/>
    <n v="1511.5"/>
    <d v="1899-12-30T10:05:00"/>
    <d v="1899-12-30T10:20:00"/>
    <x v="2"/>
    <x v="3"/>
    <n v="135"/>
    <n v="30"/>
    <x v="2"/>
    <s v="STOPLOSS"/>
    <n v="150"/>
    <n v="-1.1111111111111112"/>
    <n v="14985"/>
    <m/>
    <m/>
    <m/>
    <m/>
    <m/>
  </r>
  <r>
    <n v="33"/>
    <d v="2024-03-05T00:00:00"/>
    <x v="5"/>
    <x v="1"/>
    <n v="689.8"/>
    <n v="692"/>
    <d v="1899-12-30T10:15:00"/>
    <d v="1899-12-30T10:35:00"/>
    <x v="1"/>
    <x v="1"/>
    <n v="120"/>
    <n v="40"/>
    <x v="2"/>
    <s v="STOPLOSS"/>
    <n v="160"/>
    <n v="-1.3333333333333333"/>
    <n v="15145"/>
    <m/>
    <m/>
    <m/>
    <m/>
    <m/>
  </r>
  <r>
    <n v="34"/>
    <d v="2024-03-08T00:00:00"/>
    <x v="1"/>
    <x v="3"/>
    <n v="1615.25"/>
    <n v="1620"/>
    <d v="1899-12-30T09:50:00"/>
    <d v="1899-12-30T10:05:00"/>
    <x v="2"/>
    <x v="2"/>
    <n v="125"/>
    <n v="50"/>
    <x v="1"/>
    <s v="TARGET"/>
    <n v="170"/>
    <n v="1.36"/>
    <n v="15315"/>
    <m/>
    <m/>
    <n v="5"/>
    <m/>
    <m/>
  </r>
  <r>
    <n v="35"/>
    <d v="2024-03-08T00:00:00"/>
    <x v="1"/>
    <x v="7"/>
    <n v="9812.5"/>
    <n v="9820.75"/>
    <d v="1899-12-30T10:00:00"/>
    <d v="1899-12-30T10:20:00"/>
    <x v="1"/>
    <x v="3"/>
    <n v="130"/>
    <n v="30"/>
    <x v="1"/>
    <s v="TARGET"/>
    <n v="160"/>
    <n v="1.2307692307692308"/>
    <n v="15475"/>
    <m/>
    <m/>
    <m/>
    <m/>
    <m/>
  </r>
  <r>
    <n v="36"/>
    <d v="2024-03-09T00:00:00"/>
    <x v="2"/>
    <x v="5"/>
    <n v="3370.5"/>
    <n v="3380.75"/>
    <d v="1899-12-30T09:55:00"/>
    <d v="1899-12-30T10:15:00"/>
    <x v="2"/>
    <x v="1"/>
    <n v="135"/>
    <n v="35"/>
    <x v="2"/>
    <s v="STOPLOSS"/>
    <n v="170"/>
    <n v="-1.2592592592592593"/>
    <n v="15645"/>
    <m/>
    <m/>
    <m/>
    <m/>
    <m/>
  </r>
  <r>
    <n v="37"/>
    <d v="2024-03-10T00:00:00"/>
    <x v="3"/>
    <x v="2"/>
    <n v="2305.5"/>
    <n v="2315"/>
    <d v="1899-12-30T10:10:00"/>
    <d v="1899-12-30T10:25:00"/>
    <x v="1"/>
    <x v="2"/>
    <n v="125"/>
    <n v="40"/>
    <x v="2"/>
    <s v="STOPLOSS"/>
    <n v="180"/>
    <n v="-1.44"/>
    <n v="15825"/>
    <m/>
    <m/>
    <m/>
    <m/>
    <m/>
  </r>
  <r>
    <n v="38"/>
    <d v="2024-03-11T00:00:00"/>
    <x v="4"/>
    <x v="4"/>
    <n v="1512.5"/>
    <n v="1518.25"/>
    <d v="1899-12-30T10:00:00"/>
    <d v="1899-12-30T10:20:00"/>
    <x v="2"/>
    <x v="3"/>
    <n v="130"/>
    <n v="30"/>
    <x v="1"/>
    <s v="TARGET"/>
    <n v="150"/>
    <n v="1.1538461538461537"/>
    <n v="15975"/>
    <m/>
    <m/>
    <m/>
    <m/>
    <m/>
  </r>
  <r>
    <n v="39"/>
    <d v="2024-03-12T00:00:00"/>
    <x v="5"/>
    <x v="1"/>
    <n v="690.5"/>
    <n v="692.75"/>
    <d v="1899-12-30T09:45:00"/>
    <d v="1899-12-30T10:10:00"/>
    <x v="1"/>
    <x v="1"/>
    <n v="120"/>
    <n v="40"/>
    <x v="1"/>
    <s v="TARGET"/>
    <n v="160"/>
    <n v="1.3333333333333333"/>
    <n v="16135"/>
    <m/>
    <m/>
    <n v="2.7"/>
    <m/>
    <m/>
  </r>
  <r>
    <n v="40"/>
    <d v="2024-03-12T00:00:00"/>
    <x v="5"/>
    <x v="3"/>
    <n v="1612.5"/>
    <n v="1617"/>
    <d v="1899-12-30T10:05:00"/>
    <d v="1899-12-30T10:20:00"/>
    <x v="2"/>
    <x v="2"/>
    <n v="130"/>
    <n v="50"/>
    <x v="1"/>
    <s v="TARGET"/>
    <n v="170"/>
    <n v="1.3076923076923077"/>
    <n v="16305"/>
    <m/>
    <m/>
    <n v="3.4"/>
    <m/>
    <m/>
  </r>
  <r>
    <n v="41"/>
    <d v="2024-03-15T00:00:00"/>
    <x v="1"/>
    <x v="6"/>
    <n v="595.75"/>
    <n v="600.5"/>
    <d v="1899-12-30T09:55:00"/>
    <d v="1899-12-30T10:15:00"/>
    <x v="1"/>
    <x v="3"/>
    <n v="125"/>
    <n v="40"/>
    <x v="2"/>
    <s v="STOPLOSS"/>
    <n v="150"/>
    <n v="-1.2"/>
    <n v="16455"/>
    <m/>
    <m/>
    <m/>
    <m/>
    <m/>
  </r>
  <r>
    <n v="42"/>
    <d v="2024-03-15T00:00:00"/>
    <x v="1"/>
    <x v="7"/>
    <n v="9815"/>
    <n v="9825"/>
    <d v="1899-12-30T10:00:00"/>
    <d v="1899-12-30T10:20:00"/>
    <x v="2"/>
    <x v="1"/>
    <n v="130"/>
    <n v="30"/>
    <x v="1"/>
    <s v="TARGET"/>
    <n v="160"/>
    <n v="1.2307692307692308"/>
    <n v="16615"/>
    <m/>
    <m/>
    <m/>
    <m/>
    <m/>
  </r>
  <r>
    <n v="43"/>
    <d v="2024-03-16T00:00:00"/>
    <x v="2"/>
    <x v="5"/>
    <n v="3372"/>
    <n v="3383.5"/>
    <d v="1899-12-30T10:05:00"/>
    <d v="1899-12-30T10:20:00"/>
    <x v="1"/>
    <x v="2"/>
    <n v="125"/>
    <n v="35"/>
    <x v="2"/>
    <s v="STOPLOSS"/>
    <n v="170"/>
    <n v="-1.36"/>
    <n v="16785"/>
    <m/>
    <m/>
    <m/>
    <m/>
    <m/>
  </r>
  <r>
    <n v="44"/>
    <d v="2024-03-17T00:00:00"/>
    <x v="3"/>
    <x v="4"/>
    <n v="1518.75"/>
    <n v="1523"/>
    <d v="1899-12-30T09:50:00"/>
    <d v="1899-12-30T10:10:00"/>
    <x v="2"/>
    <x v="3"/>
    <n v="130"/>
    <n v="30"/>
    <x v="2"/>
    <s v="STOPLOSS"/>
    <n v="150"/>
    <n v="-1.1538461538461537"/>
    <n v="16935"/>
    <m/>
    <m/>
    <m/>
    <m/>
    <m/>
  </r>
  <r>
    <n v="45"/>
    <d v="2024-03-18T00:00:00"/>
    <x v="4"/>
    <x v="2"/>
    <n v="2310"/>
    <n v="2315.25"/>
    <d v="1899-12-30T10:00:00"/>
    <d v="1899-12-30T10:15:00"/>
    <x v="1"/>
    <x v="1"/>
    <n v="125"/>
    <n v="40"/>
    <x v="1"/>
    <s v="BREAKEVEN"/>
    <n v="30"/>
    <n v="0.24"/>
    <n v="16965"/>
    <m/>
    <m/>
    <m/>
    <m/>
    <m/>
  </r>
  <r>
    <n v="46"/>
    <d v="2024-03-19T00:00:00"/>
    <x v="5"/>
    <x v="1"/>
    <n v="691.25"/>
    <n v="693.5"/>
    <d v="1899-12-30T09:55:00"/>
    <d v="1899-12-30T10:15:00"/>
    <x v="2"/>
    <x v="2"/>
    <n v="120"/>
    <n v="40"/>
    <x v="2"/>
    <s v="STOPLOSS"/>
    <n v="160"/>
    <n v="-1.3333333333333333"/>
    <n v="17125"/>
    <m/>
    <m/>
    <m/>
    <m/>
    <m/>
  </r>
  <r>
    <n v="47"/>
    <d v="2024-03-19T00:00:00"/>
    <x v="5"/>
    <x v="3"/>
    <n v="1605.5"/>
    <n v="1610"/>
    <d v="1899-12-30T09:45:00"/>
    <d v="1899-12-30T10:00:00"/>
    <x v="1"/>
    <x v="3"/>
    <n v="125"/>
    <n v="50"/>
    <x v="1"/>
    <s v="TARGET"/>
    <n v="180"/>
    <n v="1.44"/>
    <n v="17305"/>
    <m/>
    <m/>
    <m/>
    <m/>
    <m/>
  </r>
  <r>
    <n v="48"/>
    <d v="2024-03-22T00:00:00"/>
    <x v="1"/>
    <x v="7"/>
    <n v="9802.5"/>
    <n v="9815"/>
    <d v="1899-12-30T10:10:00"/>
    <d v="1899-12-30T10:25:00"/>
    <x v="2"/>
    <x v="1"/>
    <n v="130"/>
    <n v="35"/>
    <x v="1"/>
    <s v="TARGET"/>
    <n v="150"/>
    <n v="1.1538461538461537"/>
    <n v="17455"/>
    <m/>
    <m/>
    <n v="4"/>
    <m/>
    <m/>
  </r>
  <r>
    <n v="49"/>
    <d v="2024-03-22T00:00:00"/>
    <x v="1"/>
    <x v="5"/>
    <n v="3375.5"/>
    <n v="3385.75"/>
    <d v="1899-12-30T09:50:00"/>
    <d v="1899-12-30T10:10:00"/>
    <x v="1"/>
    <x v="2"/>
    <n v="120"/>
    <n v="40"/>
    <x v="1"/>
    <s v="BREAKEVEN"/>
    <n v="120"/>
    <n v="1"/>
    <n v="17575"/>
    <m/>
    <m/>
    <n v="3.6"/>
    <m/>
    <m/>
  </r>
  <r>
    <n v="50"/>
    <d v="2024-03-23T00:00:00"/>
    <x v="2"/>
    <x v="6"/>
    <n v="595.5"/>
    <n v="600"/>
    <d v="1899-12-30T10:05:00"/>
    <d v="1899-12-30T10:25:00"/>
    <x v="2"/>
    <x v="3"/>
    <n v="130"/>
    <n v="40"/>
    <x v="1"/>
    <s v="TARGET"/>
    <n v="160"/>
    <n v="1.2307692307692308"/>
    <n v="17735"/>
    <m/>
    <m/>
    <n v="3"/>
    <m/>
    <m/>
  </r>
  <r>
    <n v="51"/>
    <d v="2024-03-25T00:00:00"/>
    <x v="1"/>
    <x v="5"/>
    <n v="3385.75"/>
    <n v="3400.5"/>
    <d v="1899-12-30T09:45:00"/>
    <d v="1899-12-30T10:15:00"/>
    <x v="1"/>
    <x v="1"/>
    <n v="110"/>
    <n v="40"/>
    <x v="1"/>
    <s v="BREAKEVEN"/>
    <n v="160"/>
    <n v="1.4545454545454546"/>
    <n v="17895"/>
    <m/>
    <m/>
    <n v="4"/>
    <m/>
    <m/>
  </r>
  <r>
    <n v="52"/>
    <d v="2024-03-26T00:00:00"/>
    <x v="2"/>
    <x v="6"/>
    <n v="600"/>
    <n v="605"/>
    <d v="1899-12-30T10:00:00"/>
    <d v="1899-12-30T10:20:00"/>
    <x v="2"/>
    <x v="2"/>
    <n v="125"/>
    <n v="40"/>
    <x v="1"/>
    <s v="TARGET"/>
    <n v="170"/>
    <n v="1.36"/>
    <n v="18065"/>
    <m/>
    <m/>
    <m/>
    <m/>
    <m/>
  </r>
  <r>
    <n v="53"/>
    <d v="2024-03-27T00:00:00"/>
    <x v="3"/>
    <x v="8"/>
    <n v="1235"/>
    <n v="1240.25"/>
    <d v="1899-12-30T09:55:00"/>
    <d v="1899-12-30T10:25:00"/>
    <x v="1"/>
    <x v="3"/>
    <n v="115"/>
    <n v="40"/>
    <x v="1"/>
    <s v="TARGET"/>
    <n v="180"/>
    <n v="1.5652173913043479"/>
    <n v="18245"/>
    <m/>
    <m/>
    <m/>
    <m/>
    <m/>
  </r>
  <r>
    <n v="54"/>
    <d v="2024-03-28T00:00:00"/>
    <x v="4"/>
    <x v="9"/>
    <n v="360.5"/>
    <n v="365"/>
    <d v="1899-12-30T10:05:00"/>
    <d v="1899-12-30T10:30:00"/>
    <x v="2"/>
    <x v="1"/>
    <n v="120"/>
    <n v="40"/>
    <x v="2"/>
    <s v="STOPLOSS"/>
    <n v="200"/>
    <n v="-1.6666666666666667"/>
    <n v="18445"/>
    <m/>
    <m/>
    <m/>
    <m/>
    <m/>
  </r>
  <r>
    <n v="55"/>
    <d v="2024-03-29T00:00:00"/>
    <x v="5"/>
    <x v="10"/>
    <n v="1475"/>
    <n v="1480.5"/>
    <d v="1899-12-30T09:50:00"/>
    <d v="1899-12-30T10:15:00"/>
    <x v="1"/>
    <x v="2"/>
    <n v="105"/>
    <n v="40"/>
    <x v="2"/>
    <s v="STOPLOSS"/>
    <n v="150"/>
    <n v="-1.4285714285714286"/>
    <n v="18595"/>
    <m/>
    <m/>
    <m/>
    <m/>
    <m/>
  </r>
  <r>
    <n v="56"/>
    <d v="2024-04-01T00:00:00"/>
    <x v="1"/>
    <x v="5"/>
    <n v="3400.5"/>
    <n v="3415"/>
    <d v="1899-12-30T09:40:00"/>
    <d v="1899-12-30T10:10:00"/>
    <x v="2"/>
    <x v="3"/>
    <n v="130"/>
    <n v="40"/>
    <x v="2"/>
    <s v="STOPLOSS"/>
    <n v="160"/>
    <n v="-1.2307692307692308"/>
    <n v="18755"/>
    <m/>
    <m/>
    <m/>
    <m/>
    <m/>
  </r>
  <r>
    <n v="57"/>
    <d v="2024-04-02T00:00:00"/>
    <x v="2"/>
    <x v="6"/>
    <n v="605"/>
    <n v="610"/>
    <d v="1899-12-30T10:00:00"/>
    <d v="1899-12-30T10:30:00"/>
    <x v="1"/>
    <x v="1"/>
    <n v="115"/>
    <n v="40"/>
    <x v="1"/>
    <s v="TARGET"/>
    <n v="170"/>
    <n v="1.4782608695652173"/>
    <n v="18925"/>
    <m/>
    <m/>
    <n v="3"/>
    <m/>
    <m/>
  </r>
  <r>
    <n v="58"/>
    <d v="2024-04-03T00:00:00"/>
    <x v="3"/>
    <x v="8"/>
    <n v="1240.25"/>
    <n v="1245"/>
    <d v="1899-12-30T09:50:00"/>
    <d v="1899-12-30T10:20:00"/>
    <x v="2"/>
    <x v="3"/>
    <n v="120"/>
    <n v="40"/>
    <x v="1"/>
    <s v="TARGET"/>
    <n v="180"/>
    <n v="1.5"/>
    <n v="19105"/>
    <m/>
    <m/>
    <n v="4"/>
    <m/>
    <m/>
  </r>
  <r>
    <n v="59"/>
    <d v="2024-04-04T00:00:00"/>
    <x v="4"/>
    <x v="9"/>
    <n v="365"/>
    <n v="368"/>
    <d v="1899-12-30T10:05:00"/>
    <d v="1899-12-30T10:25:00"/>
    <x v="1"/>
    <x v="1"/>
    <n v="110"/>
    <n v="40"/>
    <x v="1"/>
    <s v="TARGET"/>
    <n v="160"/>
    <n v="1.4545454545454546"/>
    <n v="19265"/>
    <m/>
    <m/>
    <m/>
    <m/>
    <m/>
  </r>
  <r>
    <n v="60"/>
    <d v="2024-04-05T00:00:00"/>
    <x v="5"/>
    <x v="10"/>
    <n v="1480.5"/>
    <n v="1490"/>
    <d v="1899-12-30T09:55:00"/>
    <d v="1899-12-30T10:15:00"/>
    <x v="2"/>
    <x v="2"/>
    <n v="125"/>
    <n v="40"/>
    <x v="1"/>
    <s v="TARGET"/>
    <n v="150"/>
    <n v="1.2"/>
    <n v="19415"/>
    <m/>
    <m/>
    <m/>
    <m/>
    <m/>
  </r>
  <r>
    <n v="61"/>
    <d v="2024-04-08T00:00:00"/>
    <x v="1"/>
    <x v="5"/>
    <n v="3415"/>
    <n v="3425"/>
    <d v="1899-12-30T09:50:00"/>
    <d v="1899-12-30T10:10:00"/>
    <x v="1"/>
    <x v="3"/>
    <n v="120"/>
    <n v="40"/>
    <x v="2"/>
    <s v="STOPLOSS"/>
    <n v="170"/>
    <n v="-1.4166666666666667"/>
    <n v="19585"/>
    <m/>
    <m/>
    <m/>
    <m/>
    <m/>
  </r>
  <r>
    <n v="62"/>
    <d v="2024-04-09T00:00:00"/>
    <x v="2"/>
    <x v="6"/>
    <n v="610"/>
    <n v="615"/>
    <d v="1899-12-30T10:00:00"/>
    <d v="1899-12-30T10:30:00"/>
    <x v="2"/>
    <x v="1"/>
    <n v="130"/>
    <n v="40"/>
    <x v="1"/>
    <s v="TARGET"/>
    <n v="150"/>
    <n v="1.1538461538461537"/>
    <n v="19735"/>
    <m/>
    <m/>
    <m/>
    <m/>
    <m/>
  </r>
  <r>
    <n v="63"/>
    <d v="2024-04-10T00:00:00"/>
    <x v="3"/>
    <x v="8"/>
    <n v="1245"/>
    <n v="1255"/>
    <d v="1899-12-30T09:55:00"/>
    <d v="1899-12-30T10:25:00"/>
    <x v="1"/>
    <x v="2"/>
    <n v="115"/>
    <n v="40"/>
    <x v="2"/>
    <s v="STOPLOSS"/>
    <n v="160"/>
    <n v="-1.3913043478260869"/>
    <n v="19895"/>
    <m/>
    <m/>
    <m/>
    <m/>
    <m/>
  </r>
  <r>
    <n v="64"/>
    <d v="2024-04-11T00:00:00"/>
    <x v="4"/>
    <x v="9"/>
    <n v="368"/>
    <n v="370.5"/>
    <d v="1899-12-30T10:10:00"/>
    <d v="1899-12-30T10:30:00"/>
    <x v="2"/>
    <x v="3"/>
    <n v="125"/>
    <n v="40"/>
    <x v="1"/>
    <s v="TARGET"/>
    <n v="170"/>
    <n v="1.36"/>
    <n v="20065"/>
    <m/>
    <m/>
    <m/>
    <m/>
    <m/>
  </r>
  <r>
    <n v="65"/>
    <d v="2024-04-12T00:00:00"/>
    <x v="5"/>
    <x v="10"/>
    <n v="1490"/>
    <n v="1495.5"/>
    <d v="1899-12-30T09:55:00"/>
    <d v="1899-12-30T10:15:00"/>
    <x v="1"/>
    <x v="1"/>
    <n v="110"/>
    <n v="40"/>
    <x v="2"/>
    <s v="STOPLOSS"/>
    <n v="160"/>
    <n v="-1.4545454545454546"/>
    <n v="20225"/>
    <m/>
    <m/>
    <m/>
    <m/>
    <m/>
  </r>
  <r>
    <n v="66"/>
    <d v="2024-04-15T00:00:00"/>
    <x v="1"/>
    <x v="5"/>
    <n v="3425"/>
    <n v="3430.5"/>
    <d v="1899-12-30T09:45:00"/>
    <d v="1899-12-30T10:05:00"/>
    <x v="2"/>
    <x v="2"/>
    <n v="120"/>
    <n v="40"/>
    <x v="1"/>
    <s v="TARGET"/>
    <n v="170"/>
    <n v="1.4166666666666667"/>
    <n v="20395"/>
    <m/>
    <m/>
    <m/>
    <m/>
    <m/>
  </r>
  <r>
    <n v="67"/>
    <d v="2024-04-16T00:00:00"/>
    <x v="2"/>
    <x v="6"/>
    <n v="615"/>
    <n v="620"/>
    <d v="1899-12-30T10:00:00"/>
    <d v="1899-12-30T10:20:00"/>
    <x v="1"/>
    <x v="1"/>
    <n v="125"/>
    <n v="40"/>
    <x v="1"/>
    <s v="TARGET"/>
    <n v="180"/>
    <n v="1.44"/>
    <n v="20575"/>
    <m/>
    <m/>
    <m/>
    <m/>
    <m/>
  </r>
  <r>
    <n v="68"/>
    <d v="2024-04-17T00:00:00"/>
    <x v="3"/>
    <x v="8"/>
    <n v="1255"/>
    <n v="1260.5"/>
    <d v="1899-12-30T09:50:00"/>
    <d v="1899-12-30T10:10:00"/>
    <x v="2"/>
    <x v="3"/>
    <n v="130"/>
    <n v="40"/>
    <x v="2"/>
    <s v="STOPLOSS"/>
    <n v="150"/>
    <n v="-1.1538461538461537"/>
    <n v="20725"/>
    <m/>
    <m/>
    <m/>
    <m/>
    <m/>
  </r>
  <r>
    <n v="69"/>
    <d v="2024-04-18T00:00:00"/>
    <x v="4"/>
    <x v="9"/>
    <n v="370.5"/>
    <n v="375"/>
    <d v="1899-12-30T09:55:00"/>
    <d v="1899-12-30T10:15:00"/>
    <x v="1"/>
    <x v="2"/>
    <n v="110"/>
    <n v="40"/>
    <x v="1"/>
    <s v="TARGET"/>
    <n v="160"/>
    <n v="1.4545454545454546"/>
    <n v="20885"/>
    <m/>
    <m/>
    <m/>
    <m/>
    <m/>
  </r>
  <r>
    <n v="70"/>
    <d v="2024-04-19T00:00:00"/>
    <x v="5"/>
    <x v="10"/>
    <n v="1495.5"/>
    <n v="1500"/>
    <d v="1899-12-30T10:00:00"/>
    <d v="1899-12-30T10:30:00"/>
    <x v="2"/>
    <x v="1"/>
    <n v="120"/>
    <n v="40"/>
    <x v="2"/>
    <s v="STOPLOSS"/>
    <n v="170"/>
    <n v="-1.4166666666666667"/>
    <n v="21055"/>
    <m/>
    <m/>
    <m/>
    <m/>
    <m/>
  </r>
  <r>
    <n v="71"/>
    <d v="2024-04-22T00:00:00"/>
    <x v="1"/>
    <x v="5"/>
    <n v="3430.5"/>
    <n v="3440"/>
    <d v="1899-12-30T09:45:00"/>
    <d v="1899-12-30T10:05:00"/>
    <x v="1"/>
    <x v="3"/>
    <n v="130"/>
    <n v="40"/>
    <x v="2"/>
    <s v="STOPLOSS"/>
    <n v="150"/>
    <n v="-1.1538461538461537"/>
    <n v="21205"/>
    <m/>
    <m/>
    <m/>
    <m/>
    <m/>
  </r>
  <r>
    <n v="72"/>
    <d v="2024-04-23T00:00:00"/>
    <x v="2"/>
    <x v="6"/>
    <n v="620"/>
    <n v="625"/>
    <d v="1899-12-30T10:10:00"/>
    <d v="1899-12-30T10:30:00"/>
    <x v="2"/>
    <x v="1"/>
    <n v="125"/>
    <n v="40"/>
    <x v="1"/>
    <s v="TARGET"/>
    <n v="160"/>
    <n v="1.28"/>
    <n v="21365"/>
    <m/>
    <m/>
    <m/>
    <m/>
    <m/>
  </r>
  <r>
    <n v="73"/>
    <d v="2024-04-24T00:00:00"/>
    <x v="3"/>
    <x v="8"/>
    <n v="1260.5"/>
    <n v="1265"/>
    <d v="1899-12-30T09:55:00"/>
    <d v="1899-12-30T10:15:00"/>
    <x v="1"/>
    <x v="2"/>
    <n v="110"/>
    <n v="40"/>
    <x v="2"/>
    <s v="STOPLOSS"/>
    <n v="170"/>
    <n v="-1.5454545454545454"/>
    <n v="21535"/>
    <m/>
    <m/>
    <m/>
    <m/>
    <m/>
  </r>
  <r>
    <n v="74"/>
    <d v="2024-04-25T00:00:00"/>
    <x v="4"/>
    <x v="9"/>
    <n v="375"/>
    <n v="378"/>
    <d v="1899-12-30T10:00:00"/>
    <d v="1899-12-30T10:20:00"/>
    <x v="2"/>
    <x v="3"/>
    <n v="120"/>
    <n v="40"/>
    <x v="1"/>
    <s v="TARGET"/>
    <n v="150"/>
    <n v="1.25"/>
    <n v="21685"/>
    <m/>
    <m/>
    <m/>
    <m/>
    <m/>
  </r>
  <r>
    <n v="75"/>
    <d v="2024-04-26T00:00:00"/>
    <x v="5"/>
    <x v="10"/>
    <n v="1500"/>
    <n v="1505.5"/>
    <d v="1899-12-30T09:50:00"/>
    <d v="1899-12-30T10:10:00"/>
    <x v="1"/>
    <x v="1"/>
    <n v="115"/>
    <n v="40"/>
    <x v="2"/>
    <s v="STOPLOSS"/>
    <n v="170"/>
    <n v="-1.4782608695652173"/>
    <n v="21855"/>
    <m/>
    <m/>
    <m/>
    <m/>
    <m/>
  </r>
  <r>
    <n v="76"/>
    <d v="2024-04-29T00:00:00"/>
    <x v="1"/>
    <x v="5"/>
    <n v="3440"/>
    <n v="3450"/>
    <d v="1899-12-30T09:45:00"/>
    <d v="1899-12-30T10:05:00"/>
    <x v="2"/>
    <x v="2"/>
    <n v="125"/>
    <n v="40"/>
    <x v="2"/>
    <s v="STOPLOSS"/>
    <n v="160"/>
    <n v="-1.28"/>
    <n v="22015"/>
    <m/>
    <m/>
    <m/>
    <m/>
    <m/>
  </r>
  <r>
    <n v="77"/>
    <d v="2024-04-30T00:00:00"/>
    <x v="2"/>
    <x v="6"/>
    <n v="625"/>
    <n v="630"/>
    <d v="1899-12-30T10:00:00"/>
    <d v="1899-12-30T10:20:00"/>
    <x v="1"/>
    <x v="1"/>
    <n v="130"/>
    <n v="40"/>
    <x v="2"/>
    <s v="STOPLOSS"/>
    <n v="180"/>
    <n v="-1.3846153846153846"/>
    <n v="22195"/>
    <m/>
    <m/>
    <m/>
    <m/>
    <m/>
  </r>
  <r>
    <n v="78"/>
    <d v="2024-05-01T00:00:00"/>
    <x v="3"/>
    <x v="8"/>
    <n v="1265"/>
    <n v="1270"/>
    <d v="1899-12-30T09:55:00"/>
    <d v="1899-12-30T10:15:00"/>
    <x v="2"/>
    <x v="3"/>
    <n v="120"/>
    <n v="40"/>
    <x v="1"/>
    <s v="TARGET"/>
    <n v="150"/>
    <n v="1.25"/>
    <n v="22345"/>
    <m/>
    <m/>
    <m/>
    <m/>
    <m/>
  </r>
  <r>
    <n v="79"/>
    <d v="2024-05-02T00:00:00"/>
    <x v="4"/>
    <x v="9"/>
    <n v="378"/>
    <n v="380"/>
    <d v="1899-12-30T10:05:00"/>
    <d v="1899-12-30T10:25:00"/>
    <x v="1"/>
    <x v="2"/>
    <n v="110"/>
    <n v="40"/>
    <x v="1"/>
    <s v="TARGET"/>
    <n v="170"/>
    <n v="1.5454545454545454"/>
    <n v="22515"/>
    <m/>
    <m/>
    <m/>
    <m/>
    <m/>
  </r>
  <r>
    <n v="80"/>
    <d v="2024-05-03T00:00:00"/>
    <x v="5"/>
    <x v="10"/>
    <n v="1505.5"/>
    <n v="1510"/>
    <d v="1899-12-30T09:50:00"/>
    <d v="1899-12-30T10:10:00"/>
    <x v="2"/>
    <x v="1"/>
    <n v="125"/>
    <n v="40"/>
    <x v="1"/>
    <s v="TARGET"/>
    <n v="160"/>
    <n v="1.28"/>
    <n v="22675"/>
    <m/>
    <m/>
    <m/>
    <m/>
    <m/>
  </r>
  <r>
    <n v="81"/>
    <d v="2024-05-06T00:00:00"/>
    <x v="1"/>
    <x v="5"/>
    <n v="3450"/>
    <n v="3460"/>
    <d v="1899-12-30T09:40:00"/>
    <d v="1899-12-30T10:00:00"/>
    <x v="1"/>
    <x v="3"/>
    <n v="130"/>
    <n v="40"/>
    <x v="2"/>
    <s v="STOPLOSS"/>
    <n v="160"/>
    <n v="-1.2307692307692308"/>
    <n v="22835"/>
    <m/>
    <m/>
    <m/>
    <m/>
    <m/>
  </r>
  <r>
    <n v="82"/>
    <d v="2024-05-07T00:00:00"/>
    <x v="2"/>
    <x v="6"/>
    <n v="630"/>
    <n v="635"/>
    <d v="1899-12-30T10:00:00"/>
    <d v="1899-12-30T10:20:00"/>
    <x v="2"/>
    <x v="1"/>
    <n v="125"/>
    <n v="40"/>
    <x v="2"/>
    <s v="STOPLOSS"/>
    <n v="170"/>
    <n v="-1.36"/>
    <n v="23005"/>
    <m/>
    <m/>
    <m/>
    <m/>
    <m/>
  </r>
  <r>
    <n v="83"/>
    <d v="2024-05-08T00:00:00"/>
    <x v="3"/>
    <x v="8"/>
    <n v="1270"/>
    <n v="1275"/>
    <d v="1899-12-30T09:55:00"/>
    <d v="1899-12-30T10:15:00"/>
    <x v="1"/>
    <x v="2"/>
    <n v="115"/>
    <n v="40"/>
    <x v="2"/>
    <s v="STOPLOSS"/>
    <n v="180"/>
    <n v="-1.5652173913043479"/>
    <n v="23185"/>
    <m/>
    <m/>
    <m/>
    <m/>
    <m/>
  </r>
  <r>
    <n v="84"/>
    <d v="2024-05-09T00:00:00"/>
    <x v="4"/>
    <x v="9"/>
    <n v="380"/>
    <n v="382.5"/>
    <d v="1899-12-30T10:05:00"/>
    <d v="1899-12-30T10:25:00"/>
    <x v="2"/>
    <x v="3"/>
    <n v="120"/>
    <n v="40"/>
    <x v="1"/>
    <s v="TARGET"/>
    <n v="200"/>
    <n v="1.6666666666666667"/>
    <n v="23385"/>
    <m/>
    <m/>
    <m/>
    <m/>
    <m/>
  </r>
  <r>
    <n v="85"/>
    <d v="2024-05-10T00:00:00"/>
    <x v="5"/>
    <x v="10"/>
    <n v="1510"/>
    <n v="1515"/>
    <d v="1899-12-30T09:50:00"/>
    <d v="1899-12-30T10:10:00"/>
    <x v="1"/>
    <x v="1"/>
    <n v="110"/>
    <n v="40"/>
    <x v="1"/>
    <s v="TARGET"/>
    <n v="150"/>
    <n v="1.3636363636363635"/>
    <n v="23535"/>
    <m/>
    <m/>
    <m/>
    <m/>
    <m/>
  </r>
  <r>
    <n v="86"/>
    <d v="2024-05-13T00:00:00"/>
    <x v="1"/>
    <x v="5"/>
    <n v="3460"/>
    <n v="3470"/>
    <d v="1899-12-30T09:45:00"/>
    <d v="1899-12-30T10:05:00"/>
    <x v="1"/>
    <x v="2"/>
    <n v="120"/>
    <n v="40"/>
    <x v="1"/>
    <s v="TARGET"/>
    <n v="160"/>
    <n v="1.3333333333333333"/>
    <n v="23695"/>
    <m/>
    <m/>
    <m/>
    <m/>
    <m/>
  </r>
  <r>
    <n v="87"/>
    <d v="2024-05-14T00:00:00"/>
    <x v="2"/>
    <x v="6"/>
    <n v="635"/>
    <n v="640"/>
    <d v="1899-12-30T10:00:00"/>
    <d v="1899-12-30T10:20:00"/>
    <x v="2"/>
    <x v="1"/>
    <n v="125"/>
    <n v="40"/>
    <x v="2"/>
    <s v="STOPLOSS"/>
    <n v="170"/>
    <n v="-1.36"/>
    <n v="23865"/>
    <m/>
    <m/>
    <m/>
    <m/>
    <m/>
  </r>
  <r>
    <n v="88"/>
    <d v="2024-05-15T00:00:00"/>
    <x v="3"/>
    <x v="8"/>
    <n v="1275"/>
    <n v="1280"/>
    <d v="1899-12-30T09:55:00"/>
    <d v="1899-12-30T10:15:00"/>
    <x v="1"/>
    <x v="3"/>
    <n v="120"/>
    <n v="40"/>
    <x v="1"/>
    <s v="TARGET"/>
    <n v="180"/>
    <n v="1.5"/>
    <n v="24045"/>
    <m/>
    <m/>
    <m/>
    <m/>
    <m/>
  </r>
  <r>
    <n v="89"/>
    <d v="2024-05-16T00:00:00"/>
    <x v="4"/>
    <x v="9"/>
    <n v="382.5"/>
    <n v="385"/>
    <d v="1899-12-30T10:05:00"/>
    <d v="1899-12-30T10:25:00"/>
    <x v="2"/>
    <x v="1"/>
    <n v="115"/>
    <n v="40"/>
    <x v="1"/>
    <s v="TARGET"/>
    <n v="160"/>
    <n v="1.3913043478260869"/>
    <n v="24205"/>
    <m/>
    <m/>
    <m/>
    <m/>
    <m/>
  </r>
  <r>
    <n v="90"/>
    <d v="2024-05-17T00:00:00"/>
    <x v="5"/>
    <x v="10"/>
    <n v="1515"/>
    <n v="1520"/>
    <d v="1899-12-30T09:50:00"/>
    <d v="1899-12-30T10:10:00"/>
    <x v="1"/>
    <x v="2"/>
    <n v="110"/>
    <n v="40"/>
    <x v="2"/>
    <s v="STOPLOSS"/>
    <n v="150"/>
    <n v="-1.3636363636363635"/>
    <n v="24355"/>
    <m/>
    <m/>
    <m/>
    <m/>
    <m/>
  </r>
  <r>
    <n v="91"/>
    <d v="2024-05-20T00:00:00"/>
    <x v="1"/>
    <x v="5"/>
    <n v="3470"/>
    <n v="3480"/>
    <d v="1899-12-30T09:45:00"/>
    <d v="1899-12-30T10:05:00"/>
    <x v="2"/>
    <x v="3"/>
    <n v="125"/>
    <n v="40"/>
    <x v="1"/>
    <s v="TARGET"/>
    <n v="170"/>
    <n v="1.36"/>
    <n v="24525"/>
    <m/>
    <m/>
    <m/>
    <m/>
    <m/>
  </r>
  <r>
    <n v="92"/>
    <d v="2024-05-21T00:00:00"/>
    <x v="2"/>
    <x v="6"/>
    <n v="640"/>
    <n v="645"/>
    <d v="1899-12-30T10:00:00"/>
    <d v="1899-12-30T10:20:00"/>
    <x v="1"/>
    <x v="1"/>
    <n v="120"/>
    <n v="40"/>
    <x v="2"/>
    <s v="STOPLOSS"/>
    <n v="150"/>
    <n v="-1.25"/>
    <n v="24675"/>
    <m/>
    <m/>
    <m/>
    <m/>
    <m/>
  </r>
  <r>
    <n v="93"/>
    <d v="2024-05-22T00:00:00"/>
    <x v="3"/>
    <x v="8"/>
    <n v="1280"/>
    <n v="1285"/>
    <d v="1899-12-30T09:55:00"/>
    <d v="1899-12-30T10:15:00"/>
    <x v="2"/>
    <x v="2"/>
    <n v="125"/>
    <n v="40"/>
    <x v="1"/>
    <s v="TARGET"/>
    <n v="160"/>
    <n v="1.28"/>
    <n v="24835"/>
    <m/>
    <m/>
    <m/>
    <m/>
    <m/>
  </r>
  <r>
    <n v="94"/>
    <d v="2024-05-23T00:00:00"/>
    <x v="4"/>
    <x v="9"/>
    <n v="385"/>
    <n v="387.5"/>
    <d v="1899-12-30T10:05:00"/>
    <d v="1899-12-30T10:25:00"/>
    <x v="1"/>
    <x v="1"/>
    <n v="110"/>
    <n v="40"/>
    <x v="1"/>
    <s v="TARGET"/>
    <n v="170"/>
    <n v="1.5454545454545454"/>
    <n v="25005"/>
    <m/>
    <m/>
    <m/>
    <m/>
    <m/>
  </r>
  <r>
    <n v="95"/>
    <d v="2024-05-24T00:00:00"/>
    <x v="5"/>
    <x v="10"/>
    <n v="1520"/>
    <n v="1525"/>
    <d v="1899-12-30T09:50:00"/>
    <d v="1899-12-30T10:10:00"/>
    <x v="2"/>
    <x v="3"/>
    <n v="120"/>
    <n v="40"/>
    <x v="2"/>
    <s v="STOPLOSS"/>
    <n v="160"/>
    <n v="-1.3333333333333333"/>
    <n v="25165"/>
    <m/>
    <m/>
    <m/>
    <m/>
    <m/>
  </r>
  <r>
    <n v="96"/>
    <d v="2024-05-27T00:00:00"/>
    <x v="1"/>
    <x v="5"/>
    <n v="3480"/>
    <n v="3490"/>
    <d v="1899-12-30T09:45:00"/>
    <d v="1899-12-30T10:05:00"/>
    <x v="1"/>
    <x v="2"/>
    <n v="115"/>
    <n v="40"/>
    <x v="2"/>
    <s v="STOPLOSS"/>
    <n v="170"/>
    <n v="-1.4782608695652173"/>
    <n v="25335"/>
    <m/>
    <m/>
    <m/>
    <m/>
    <m/>
  </r>
  <r>
    <n v="97"/>
    <d v="2024-05-28T00:00:00"/>
    <x v="2"/>
    <x v="6"/>
    <n v="645"/>
    <n v="650"/>
    <d v="1899-12-30T10:00:00"/>
    <d v="1899-12-30T10:20:00"/>
    <x v="2"/>
    <x v="1"/>
    <n v="130"/>
    <n v="40"/>
    <x v="1"/>
    <s v="TARGET"/>
    <n v="180"/>
    <n v="1.3846153846153846"/>
    <n v="25515"/>
    <m/>
    <m/>
    <m/>
    <m/>
    <m/>
  </r>
  <r>
    <n v="98"/>
    <d v="2024-05-29T00:00:00"/>
    <x v="3"/>
    <x v="8"/>
    <n v="1285"/>
    <n v="1290"/>
    <d v="1899-12-30T09:55:00"/>
    <d v="1899-12-30T10:15:00"/>
    <x v="1"/>
    <x v="3"/>
    <n v="120"/>
    <n v="40"/>
    <x v="1"/>
    <s v="TARGET"/>
    <n v="150"/>
    <n v="1.25"/>
    <n v="25665"/>
    <m/>
    <m/>
    <m/>
    <m/>
    <m/>
  </r>
  <r>
    <n v="99"/>
    <d v="2024-05-30T00:00:00"/>
    <x v="4"/>
    <x v="9"/>
    <n v="387.5"/>
    <n v="390"/>
    <d v="1899-12-30T10:10:00"/>
    <d v="1899-12-30T10:30:00"/>
    <x v="2"/>
    <x v="2"/>
    <n v="125"/>
    <n v="40"/>
    <x v="2"/>
    <s v="STOPLOSS"/>
    <n v="160"/>
    <n v="-1.28"/>
    <n v="25825"/>
    <m/>
    <m/>
    <m/>
    <m/>
    <m/>
  </r>
  <r>
    <n v="100"/>
    <d v="2024-05-31T00:00:00"/>
    <x v="5"/>
    <x v="10"/>
    <n v="1525"/>
    <n v="1530"/>
    <d v="1899-12-30T09:50:00"/>
    <d v="1899-12-30T10:10:00"/>
    <x v="1"/>
    <x v="1"/>
    <n v="110"/>
    <n v="40"/>
    <x v="2"/>
    <s v="STOPLOSS"/>
    <n v="170"/>
    <n v="-1.5454545454545454"/>
    <n v="25995"/>
    <m/>
    <m/>
    <m/>
    <m/>
    <m/>
  </r>
  <r>
    <n v="101"/>
    <d v="2024-06-03T00:00:00"/>
    <x v="1"/>
    <x v="5"/>
    <n v="3490"/>
    <n v="3500"/>
    <d v="1899-12-30T09:45:00"/>
    <d v="1899-12-30T10:05:00"/>
    <x v="2"/>
    <x v="3"/>
    <n v="130"/>
    <n v="40"/>
    <x v="1"/>
    <s v="TARGET"/>
    <n v="150"/>
    <n v="1.1538461538461537"/>
    <n v="26145"/>
    <m/>
    <m/>
    <m/>
    <m/>
    <m/>
  </r>
  <r>
    <n v="102"/>
    <d v="2024-06-04T00:00:00"/>
    <x v="2"/>
    <x v="6"/>
    <n v="650"/>
    <n v="655"/>
    <d v="1899-12-30T10:00:00"/>
    <d v="1899-12-30T10:20:00"/>
    <x v="1"/>
    <x v="1"/>
    <n v="120"/>
    <n v="40"/>
    <x v="1"/>
    <s v="TARGET"/>
    <n v="160"/>
    <n v="1.3333333333333333"/>
    <n v="26305"/>
    <m/>
    <m/>
    <m/>
    <m/>
    <m/>
  </r>
  <r>
    <n v="103"/>
    <d v="2024-06-05T00:00:00"/>
    <x v="3"/>
    <x v="8"/>
    <n v="1290"/>
    <n v="1295"/>
    <d v="1899-12-30T09:55:00"/>
    <d v="1899-12-30T10:15:00"/>
    <x v="2"/>
    <x v="2"/>
    <n v="125"/>
    <n v="40"/>
    <x v="1"/>
    <s v="TARGET"/>
    <n v="170"/>
    <n v="1.36"/>
    <n v="26475"/>
    <m/>
    <m/>
    <m/>
    <m/>
    <m/>
  </r>
  <r>
    <n v="104"/>
    <d v="2024-06-06T00:00:00"/>
    <x v="4"/>
    <x v="9"/>
    <n v="390"/>
    <n v="392.5"/>
    <d v="1899-12-30T10:05:00"/>
    <d v="1899-12-30T10:25:00"/>
    <x v="1"/>
    <x v="3"/>
    <n v="115"/>
    <n v="40"/>
    <x v="2"/>
    <s v="STOPLOSS"/>
    <n v="150"/>
    <n v="-1.3043478260869565"/>
    <n v="26625"/>
    <m/>
    <m/>
    <m/>
    <m/>
    <m/>
  </r>
  <r>
    <n v="105"/>
    <d v="2024-06-07T00:00:00"/>
    <x v="5"/>
    <x v="10"/>
    <n v="1530"/>
    <n v="1535"/>
    <d v="1899-12-30T09:50:00"/>
    <d v="1899-12-30T10:10:00"/>
    <x v="2"/>
    <x v="1"/>
    <n v="120"/>
    <n v="40"/>
    <x v="1"/>
    <s v="TARGET"/>
    <n v="170"/>
    <n v="1.4166666666666667"/>
    <n v="26795"/>
    <m/>
    <m/>
    <m/>
    <m/>
    <m/>
  </r>
  <r>
    <n v="106"/>
    <d v="2024-06-10T00:00:00"/>
    <x v="1"/>
    <x v="5"/>
    <n v="3500"/>
    <n v="3510"/>
    <d v="1899-12-30T09:45:00"/>
    <d v="1899-12-30T10:05:00"/>
    <x v="1"/>
    <x v="2"/>
    <n v="115"/>
    <n v="40"/>
    <x v="2"/>
    <s v="STOPLOSS"/>
    <n v="160"/>
    <n v="-1.3913043478260869"/>
    <n v="26955"/>
    <m/>
    <m/>
    <m/>
    <m/>
    <m/>
  </r>
  <r>
    <n v="107"/>
    <d v="2024-06-11T00:00:00"/>
    <x v="2"/>
    <x v="6"/>
    <n v="655"/>
    <n v="660"/>
    <d v="1899-12-30T10:00:00"/>
    <d v="1899-12-30T10:20:00"/>
    <x v="2"/>
    <x v="3"/>
    <n v="125"/>
    <n v="40"/>
    <x v="1"/>
    <s v="TARGET"/>
    <n v="180"/>
    <n v="1.44"/>
    <n v="27135"/>
    <m/>
    <m/>
    <m/>
    <m/>
    <m/>
  </r>
  <r>
    <n v="108"/>
    <d v="2024-06-12T00:00:00"/>
    <x v="3"/>
    <x v="8"/>
    <n v="1295"/>
    <n v="1300"/>
    <d v="1899-12-30T09:55:00"/>
    <d v="1899-12-30T10:15:00"/>
    <x v="1"/>
    <x v="1"/>
    <n v="120"/>
    <n v="40"/>
    <x v="1"/>
    <s v="TARGET"/>
    <n v="150"/>
    <n v="1.25"/>
    <n v="27285"/>
    <m/>
    <m/>
    <m/>
    <m/>
    <m/>
  </r>
  <r>
    <n v="109"/>
    <d v="2024-06-13T00:00:00"/>
    <x v="4"/>
    <x v="9"/>
    <n v="392.5"/>
    <n v="395"/>
    <d v="1899-12-30T10:05:00"/>
    <d v="1899-12-30T10:25:00"/>
    <x v="2"/>
    <x v="2"/>
    <n v="125"/>
    <n v="40"/>
    <x v="2"/>
    <s v="STOPLOSS"/>
    <n v="170"/>
    <n v="-1.36"/>
    <n v="27455"/>
    <m/>
    <m/>
    <m/>
    <m/>
    <m/>
  </r>
  <r>
    <n v="110"/>
    <d v="2024-06-14T00:00:00"/>
    <x v="5"/>
    <x v="10"/>
    <n v="1535"/>
    <n v="1540"/>
    <d v="1899-12-30T09:50:00"/>
    <d v="1899-12-30T10:10:00"/>
    <x v="1"/>
    <x v="3"/>
    <n v="110"/>
    <n v="40"/>
    <x v="2"/>
    <s v="STOPLOSS"/>
    <n v="160"/>
    <n v="-1.4545454545454546"/>
    <n v="27615"/>
    <m/>
    <m/>
    <m/>
    <m/>
    <m/>
  </r>
  <r>
    <n v="111"/>
    <d v="2024-06-17T00:00:00"/>
    <x v="1"/>
    <x v="5"/>
    <n v="3510"/>
    <n v="3520"/>
    <d v="1899-12-30T09:45:00"/>
    <d v="1899-12-30T10:05:00"/>
    <x v="2"/>
    <x v="1"/>
    <n v="120"/>
    <n v="40"/>
    <x v="1"/>
    <s v="TARGET"/>
    <n v="170"/>
    <n v="1.4166666666666667"/>
    <n v="27785"/>
    <m/>
    <m/>
    <m/>
    <m/>
    <m/>
  </r>
  <r>
    <n v="112"/>
    <d v="2024-06-18T00:00:00"/>
    <x v="2"/>
    <x v="6"/>
    <n v="660"/>
    <n v="665"/>
    <d v="1899-12-30T10:00:00"/>
    <d v="1899-12-30T10:20:00"/>
    <x v="1"/>
    <x v="2"/>
    <n v="115"/>
    <n v="40"/>
    <x v="2"/>
    <s v="STOPLOSS"/>
    <n v="160"/>
    <n v="-1.3913043478260869"/>
    <n v="27945"/>
    <m/>
    <m/>
    <m/>
    <m/>
    <m/>
  </r>
  <r>
    <n v="113"/>
    <d v="2024-06-19T00:00:00"/>
    <x v="3"/>
    <x v="8"/>
    <n v="1300"/>
    <n v="1305"/>
    <d v="1899-12-30T09:55:00"/>
    <d v="1899-12-30T10:15:00"/>
    <x v="2"/>
    <x v="3"/>
    <n v="120"/>
    <n v="40"/>
    <x v="1"/>
    <s v="TARGET"/>
    <n v="180"/>
    <n v="1.5"/>
    <n v="28125"/>
    <m/>
    <m/>
    <m/>
    <m/>
    <m/>
  </r>
  <r>
    <n v="114"/>
    <d v="2024-06-20T00:00:00"/>
    <x v="4"/>
    <x v="9"/>
    <n v="395"/>
    <n v="397.5"/>
    <d v="1899-12-30T10:05:00"/>
    <d v="1899-12-30T10:25:00"/>
    <x v="1"/>
    <x v="1"/>
    <n v="110"/>
    <n v="40"/>
    <x v="2"/>
    <s v="STOPLOSS"/>
    <n v="150"/>
    <n v="-1.3636363636363635"/>
    <n v="28275"/>
    <m/>
    <m/>
    <m/>
    <m/>
    <m/>
  </r>
  <r>
    <n v="115"/>
    <d v="2024-06-21T00:00:00"/>
    <x v="5"/>
    <x v="10"/>
    <n v="1540"/>
    <n v="1545"/>
    <d v="1899-12-30T09:50:00"/>
    <d v="1899-12-30T10:10:00"/>
    <x v="2"/>
    <x v="2"/>
    <n v="125"/>
    <n v="40"/>
    <x v="1"/>
    <s v="TARGET"/>
    <n v="160"/>
    <n v="1.28"/>
    <n v="28435"/>
    <m/>
    <m/>
    <m/>
    <m/>
    <m/>
  </r>
  <r>
    <n v="116"/>
    <d v="2024-06-24T00:00:00"/>
    <x v="1"/>
    <x v="5"/>
    <n v="3520"/>
    <n v="3530"/>
    <d v="1899-12-30T09:45:00"/>
    <d v="1899-12-30T10:05:00"/>
    <x v="1"/>
    <x v="3"/>
    <n v="130"/>
    <n v="40"/>
    <x v="1"/>
    <s v="TARGET"/>
    <n v="170"/>
    <n v="1.3076923076923077"/>
    <n v="28605"/>
    <m/>
    <m/>
    <m/>
    <m/>
    <m/>
  </r>
  <r>
    <n v="117"/>
    <d v="2024-06-25T00:00:00"/>
    <x v="2"/>
    <x v="6"/>
    <n v="665"/>
    <n v="670"/>
    <d v="1899-12-30T10:00:00"/>
    <d v="1899-12-30T10:20:00"/>
    <x v="2"/>
    <x v="1"/>
    <n v="125"/>
    <n v="40"/>
    <x v="1"/>
    <s v="TARGET"/>
    <n v="150"/>
    <n v="1.2"/>
    <n v="28755"/>
    <m/>
    <m/>
    <m/>
    <m/>
    <m/>
  </r>
  <r>
    <n v="118"/>
    <d v="2024-06-26T00:00:00"/>
    <x v="3"/>
    <x v="8"/>
    <n v="1305"/>
    <n v="1310"/>
    <d v="1899-12-30T09:55:00"/>
    <d v="1899-12-30T10:15:00"/>
    <x v="1"/>
    <x v="2"/>
    <n v="115"/>
    <n v="40"/>
    <x v="2"/>
    <s v="STOPLOSS"/>
    <n v="160"/>
    <n v="-1.3913043478260869"/>
    <n v="28915"/>
    <m/>
    <m/>
    <m/>
    <m/>
    <m/>
  </r>
  <r>
    <n v="119"/>
    <d v="2024-06-27T00:00:00"/>
    <x v="4"/>
    <x v="9"/>
    <n v="397.5"/>
    <n v="400"/>
    <d v="1899-12-30T10:05:00"/>
    <d v="1899-12-30T10:25:00"/>
    <x v="2"/>
    <x v="3"/>
    <n v="120"/>
    <n v="40"/>
    <x v="2"/>
    <s v="STOPLOSS"/>
    <n v="170"/>
    <n v="-1.4166666666666667"/>
    <n v="29085"/>
    <m/>
    <m/>
    <m/>
    <m/>
    <m/>
  </r>
  <r>
    <n v="120"/>
    <d v="2024-06-28T00:00:00"/>
    <x v="5"/>
    <x v="10"/>
    <n v="1545"/>
    <n v="1550"/>
    <d v="1899-12-30T09:50:00"/>
    <d v="1899-12-30T10:10:00"/>
    <x v="1"/>
    <x v="1"/>
    <n v="110"/>
    <n v="40"/>
    <x v="1"/>
    <s v="TARGET"/>
    <n v="170"/>
    <n v="1.5454545454545454"/>
    <n v="29255"/>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r>
    <m/>
    <m/>
    <x v="0"/>
    <x v="0"/>
    <m/>
    <m/>
    <m/>
    <m/>
    <x v="0"/>
    <x v="0"/>
    <m/>
    <m/>
    <x v="0"/>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m/>
    <x v="0"/>
    <m/>
    <n v="9000"/>
    <x v="0"/>
  </r>
  <r>
    <n v="1"/>
    <x v="1"/>
    <n v="-160"/>
    <n v="8840"/>
    <x v="1"/>
  </r>
  <r>
    <n v="2"/>
    <x v="2"/>
    <n v="200"/>
    <n v="9040"/>
    <x v="1"/>
  </r>
  <r>
    <n v="3"/>
    <x v="3"/>
    <n v="180"/>
    <n v="9220"/>
    <x v="1"/>
  </r>
  <r>
    <n v="4"/>
    <x v="4"/>
    <n v="-170"/>
    <n v="9050"/>
    <x v="1"/>
  </r>
  <r>
    <n v="5"/>
    <x v="5"/>
    <n v="290"/>
    <n v="9340"/>
    <x v="1"/>
  </r>
  <r>
    <n v="6"/>
    <x v="6"/>
    <n v="25"/>
    <n v="9365"/>
    <x v="1"/>
  </r>
  <r>
    <n v="7"/>
    <x v="7"/>
    <n v="180"/>
    <n v="9545"/>
    <x v="1"/>
  </r>
  <r>
    <n v="8"/>
    <x v="8"/>
    <n v="160"/>
    <n v="9705"/>
    <x v="1"/>
  </r>
  <r>
    <n v="9"/>
    <x v="9"/>
    <n v="-170"/>
    <n v="9535"/>
    <x v="1"/>
  </r>
  <r>
    <n v="10"/>
    <x v="10"/>
    <n v="-10"/>
    <n v="9525"/>
    <x v="1"/>
  </r>
  <r>
    <n v="11"/>
    <x v="11"/>
    <n v="-30"/>
    <n v="9495"/>
    <x v="1"/>
  </r>
  <r>
    <n v="12"/>
    <x v="12"/>
    <n v="160"/>
    <n v="9655"/>
    <x v="1"/>
  </r>
  <r>
    <n v="13"/>
    <x v="13"/>
    <n v="-170"/>
    <n v="9485"/>
    <x v="1"/>
  </r>
  <r>
    <n v="14"/>
    <x v="14"/>
    <n v="-220"/>
    <n v="9265"/>
    <x v="1"/>
  </r>
  <r>
    <n v="15"/>
    <x v="15"/>
    <n v="340"/>
    <n v="9605"/>
    <x v="1"/>
  </r>
  <r>
    <n v="16"/>
    <x v="16"/>
    <n v="330"/>
    <n v="9935"/>
    <x v="1"/>
  </r>
  <r>
    <n v="17"/>
    <x v="17"/>
    <n v="-180"/>
    <n v="9755"/>
    <x v="1"/>
  </r>
  <r>
    <n v="18"/>
    <x v="18"/>
    <n v="-200"/>
    <n v="9555"/>
    <x v="1"/>
  </r>
  <r>
    <n v="19"/>
    <x v="19"/>
    <n v="-50"/>
    <n v="9505"/>
    <x v="1"/>
  </r>
  <r>
    <n v="20"/>
    <x v="20"/>
    <n v="10"/>
    <n v="9515"/>
    <x v="1"/>
  </r>
  <r>
    <n v="21"/>
    <x v="21"/>
    <n v="180"/>
    <n v="9695"/>
    <x v="2"/>
  </r>
  <r>
    <n v="22"/>
    <x v="22"/>
    <n v="-160"/>
    <n v="9535"/>
    <x v="2"/>
  </r>
  <r>
    <n v="23"/>
    <x v="23"/>
    <n v="-150"/>
    <n v="9385"/>
    <x v="2"/>
  </r>
  <r>
    <n v="24"/>
    <x v="24"/>
    <n v="520"/>
    <n v="9905"/>
    <x v="2"/>
  </r>
  <r>
    <n v="25"/>
    <x v="25"/>
    <n v="-310"/>
    <n v="9595"/>
    <x v="2"/>
  </r>
  <r>
    <n v="26"/>
    <x v="26"/>
    <n v="330"/>
    <n v="9925"/>
    <x v="2"/>
  </r>
  <r>
    <n v="27"/>
    <x v="27"/>
    <n v="-170"/>
    <n v="9755"/>
    <x v="2"/>
  </r>
  <r>
    <n v="28"/>
    <x v="28"/>
    <n v="-180"/>
    <n v="9575"/>
    <x v="2"/>
  </r>
  <r>
    <n v="29"/>
    <x v="29"/>
    <n v="150"/>
    <n v="9725"/>
    <x v="2"/>
  </r>
  <r>
    <n v="30"/>
    <x v="30"/>
    <n v="330"/>
    <n v="10055"/>
    <x v="2"/>
  </r>
  <r>
    <n v="31"/>
    <x v="31"/>
    <n v="10"/>
    <n v="10065"/>
    <x v="2"/>
  </r>
  <r>
    <n v="32"/>
    <x v="32"/>
    <n v="-170"/>
    <n v="9895"/>
    <x v="2"/>
  </r>
  <r>
    <n v="33"/>
    <x v="33"/>
    <n v="-150"/>
    <n v="9745"/>
    <x v="2"/>
  </r>
  <r>
    <n v="34"/>
    <x v="34"/>
    <n v="30"/>
    <n v="9775"/>
    <x v="2"/>
  </r>
  <r>
    <n v="35"/>
    <x v="35"/>
    <n v="20"/>
    <n v="9795"/>
    <x v="2"/>
  </r>
  <r>
    <n v="36"/>
    <x v="36"/>
    <n v="270"/>
    <n v="10065"/>
    <x v="2"/>
  </r>
  <r>
    <n v="37"/>
    <x v="37"/>
    <n v="160"/>
    <n v="10225"/>
    <x v="2"/>
  </r>
  <r>
    <n v="38"/>
    <x v="38"/>
    <n v="160"/>
    <n v="10385"/>
    <x v="2"/>
  </r>
  <r>
    <n v="39"/>
    <x v="39"/>
    <n v="170"/>
    <n v="10555"/>
    <x v="2"/>
  </r>
  <r>
    <n v="40"/>
    <x v="40"/>
    <n v="180"/>
    <n v="10735"/>
    <x v="2"/>
  </r>
  <r>
    <n v="41"/>
    <x v="41"/>
    <n v="-200"/>
    <n v="10535"/>
    <x v="2"/>
  </r>
  <r>
    <n v="42"/>
    <x v="42"/>
    <n v="-150"/>
    <n v="10385"/>
    <x v="2"/>
  </r>
  <r>
    <n v="43"/>
    <x v="43"/>
    <n v="-160"/>
    <n v="10225"/>
    <x v="3"/>
  </r>
  <r>
    <n v="44"/>
    <x v="44"/>
    <n v="170"/>
    <n v="10395"/>
    <x v="3"/>
  </r>
  <r>
    <n v="45"/>
    <x v="45"/>
    <n v="180"/>
    <n v="10575"/>
    <x v="3"/>
  </r>
  <r>
    <n v="46"/>
    <x v="46"/>
    <n v="160"/>
    <n v="10735"/>
    <x v="3"/>
  </r>
  <r>
    <n v="47"/>
    <x v="47"/>
    <n v="150"/>
    <n v="10885"/>
    <x v="3"/>
  </r>
  <r>
    <n v="48"/>
    <x v="48"/>
    <n v="-170"/>
    <n v="10715"/>
    <x v="3"/>
  </r>
  <r>
    <n v="49"/>
    <x v="49"/>
    <n v="150"/>
    <n v="10865"/>
    <x v="3"/>
  </r>
  <r>
    <n v="50"/>
    <x v="50"/>
    <n v="-160"/>
    <n v="10705"/>
    <x v="3"/>
  </r>
  <r>
    <n v="51"/>
    <x v="51"/>
    <n v="170"/>
    <n v="10875"/>
    <x v="3"/>
  </r>
  <r>
    <n v="52"/>
    <x v="52"/>
    <n v="-160"/>
    <n v="10715"/>
    <x v="3"/>
  </r>
  <r>
    <n v="53"/>
    <x v="53"/>
    <n v="170"/>
    <n v="10885"/>
    <x v="3"/>
  </r>
  <r>
    <n v="54"/>
    <x v="54"/>
    <n v="180"/>
    <n v="11065"/>
    <x v="3"/>
  </r>
  <r>
    <n v="55"/>
    <x v="55"/>
    <n v="-150"/>
    <n v="10915"/>
    <x v="3"/>
  </r>
  <r>
    <n v="56"/>
    <x v="56"/>
    <n v="160"/>
    <n v="11075"/>
    <x v="3"/>
  </r>
  <r>
    <n v="57"/>
    <x v="57"/>
    <n v="-170"/>
    <n v="10905"/>
    <x v="3"/>
  </r>
  <r>
    <n v="58"/>
    <x v="58"/>
    <n v="-150"/>
    <n v="10755"/>
    <x v="3"/>
  </r>
  <r>
    <n v="59"/>
    <x v="59"/>
    <n v="160"/>
    <n v="10915"/>
    <x v="3"/>
  </r>
  <r>
    <n v="60"/>
    <x v="60"/>
    <n v="-170"/>
    <n v="10745"/>
    <x v="3"/>
  </r>
  <r>
    <n v="61"/>
    <x v="61"/>
    <n v="150"/>
    <n v="10895"/>
    <x v="3"/>
  </r>
  <r>
    <n v="62"/>
    <x v="62"/>
    <n v="-170"/>
    <n v="10725"/>
    <x v="3"/>
  </r>
  <r>
    <n v="63"/>
    <x v="63"/>
    <n v="-160"/>
    <n v="10565"/>
    <x v="3"/>
  </r>
  <r>
    <n v="64"/>
    <x v="64"/>
    <n v="-180"/>
    <n v="10385"/>
    <x v="3"/>
  </r>
  <r>
    <n v="65"/>
    <x v="65"/>
    <n v="150"/>
    <n v="10535"/>
    <x v="4"/>
  </r>
  <r>
    <n v="66"/>
    <x v="66"/>
    <n v="170"/>
    <n v="10705"/>
    <x v="4"/>
  </r>
  <r>
    <n v="67"/>
    <x v="67"/>
    <n v="160"/>
    <n v="10865"/>
    <x v="4"/>
  </r>
  <r>
    <n v="68"/>
    <x v="68"/>
    <n v="-160"/>
    <n v="10705"/>
    <x v="4"/>
  </r>
  <r>
    <n v="69"/>
    <x v="69"/>
    <n v="-170"/>
    <n v="10535"/>
    <x v="4"/>
  </r>
  <r>
    <n v="70"/>
    <x v="70"/>
    <n v="-180"/>
    <n v="10355"/>
    <x v="4"/>
  </r>
  <r>
    <n v="71"/>
    <x v="71"/>
    <n v="200"/>
    <n v="10555"/>
    <x v="4"/>
  </r>
  <r>
    <n v="72"/>
    <x v="72"/>
    <n v="150"/>
    <n v="10705"/>
    <x v="4"/>
  </r>
  <r>
    <n v="73"/>
    <x v="73"/>
    <n v="160"/>
    <n v="10865"/>
    <x v="4"/>
  </r>
  <r>
    <n v="74"/>
    <x v="74"/>
    <n v="-170"/>
    <n v="10695"/>
    <x v="4"/>
  </r>
  <r>
    <n v="75"/>
    <x v="75"/>
    <n v="180"/>
    <n v="10875"/>
    <x v="4"/>
  </r>
  <r>
    <n v="76"/>
    <x v="76"/>
    <n v="160"/>
    <n v="11035"/>
    <x v="4"/>
  </r>
  <r>
    <n v="77"/>
    <x v="77"/>
    <n v="-150"/>
    <n v="10885"/>
    <x v="4"/>
  </r>
  <r>
    <n v="78"/>
    <x v="78"/>
    <n v="170"/>
    <n v="11055"/>
    <x v="4"/>
  </r>
  <r>
    <n v="79"/>
    <x v="79"/>
    <n v="-150"/>
    <n v="10905"/>
    <x v="4"/>
  </r>
  <r>
    <n v="80"/>
    <x v="80"/>
    <n v="160"/>
    <n v="11065"/>
    <x v="4"/>
  </r>
  <r>
    <n v="81"/>
    <x v="81"/>
    <n v="170"/>
    <n v="11235"/>
    <x v="4"/>
  </r>
  <r>
    <n v="82"/>
    <x v="82"/>
    <n v="-160"/>
    <n v="11075"/>
    <x v="4"/>
  </r>
  <r>
    <n v="83"/>
    <x v="83"/>
    <n v="-170"/>
    <n v="10905"/>
    <x v="4"/>
  </r>
  <r>
    <n v="84"/>
    <x v="84"/>
    <n v="180"/>
    <n v="11085"/>
    <x v="4"/>
  </r>
  <r>
    <n v="85"/>
    <x v="85"/>
    <n v="150"/>
    <n v="11235"/>
    <x v="4"/>
  </r>
  <r>
    <n v="86"/>
    <x v="86"/>
    <n v="-160"/>
    <n v="11075"/>
    <x v="4"/>
  </r>
  <r>
    <n v="87"/>
    <x v="87"/>
    <n v="-170"/>
    <n v="10905"/>
    <x v="4"/>
  </r>
  <r>
    <n v="88"/>
    <x v="88"/>
    <n v="150"/>
    <n v="11055"/>
    <x v="5"/>
  </r>
  <r>
    <n v="89"/>
    <x v="89"/>
    <n v="160"/>
    <n v="11215"/>
    <x v="5"/>
  </r>
  <r>
    <n v="90"/>
    <x v="90"/>
    <n v="170"/>
    <n v="11385"/>
    <x v="5"/>
  </r>
  <r>
    <n v="91"/>
    <x v="91"/>
    <n v="-150"/>
    <n v="11235"/>
    <x v="5"/>
  </r>
  <r>
    <n v="92"/>
    <x v="92"/>
    <n v="170"/>
    <n v="11405"/>
    <x v="5"/>
  </r>
  <r>
    <n v="93"/>
    <x v="93"/>
    <n v="-160"/>
    <n v="11245"/>
    <x v="5"/>
  </r>
  <r>
    <n v="94"/>
    <x v="94"/>
    <n v="180"/>
    <n v="11425"/>
    <x v="5"/>
  </r>
  <r>
    <n v="95"/>
    <x v="95"/>
    <n v="150"/>
    <n v="11575"/>
    <x v="5"/>
  </r>
  <r>
    <n v="96"/>
    <x v="96"/>
    <n v="-170"/>
    <n v="11405"/>
    <x v="5"/>
  </r>
  <r>
    <n v="97"/>
    <x v="97"/>
    <n v="-160"/>
    <n v="11245"/>
    <x v="5"/>
  </r>
  <r>
    <n v="98"/>
    <x v="98"/>
    <n v="170"/>
    <n v="11415"/>
    <x v="5"/>
  </r>
  <r>
    <n v="99"/>
    <x v="99"/>
    <n v="-160"/>
    <n v="11255"/>
    <x v="5"/>
  </r>
  <r>
    <n v="100"/>
    <x v="100"/>
    <n v="180"/>
    <n v="11435"/>
    <x v="5"/>
  </r>
  <r>
    <n v="101"/>
    <x v="101"/>
    <n v="-150"/>
    <n v="11285"/>
    <x v="5"/>
  </r>
  <r>
    <n v="102"/>
    <x v="102"/>
    <n v="160"/>
    <n v="11445"/>
    <x v="5"/>
  </r>
  <r>
    <n v="103"/>
    <x v="103"/>
    <n v="170"/>
    <n v="11615"/>
    <x v="5"/>
  </r>
  <r>
    <n v="104"/>
    <x v="104"/>
    <n v="150"/>
    <n v="11765"/>
    <x v="5"/>
  </r>
  <r>
    <n v="105"/>
    <x v="105"/>
    <n v="-160"/>
    <n v="11605"/>
    <x v="5"/>
  </r>
  <r>
    <n v="106"/>
    <x v="106"/>
    <n v="-170"/>
    <n v="11435"/>
    <x v="5"/>
  </r>
  <r>
    <n v="107"/>
    <x v="107"/>
    <n v="170"/>
    <n v="11605"/>
    <x v="5"/>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r>
    <m/>
    <x v="0"/>
    <m/>
    <m/>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3.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C536CF-768D-4741-A69D-DA6EE121750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2:P3" firstHeaderRow="0" firstDataRow="1" firstDataCol="0"/>
  <pivotFields count="21">
    <pivotField numFmtId="167" showAll="0"/>
    <pivotField numFmtId="167" showAll="0"/>
    <pivotField dataField="1" numFmtId="167" showAll="0"/>
    <pivotField dataField="1" numFmtId="167" showAll="0"/>
    <pivotField numFmtId="167" showAll="0"/>
    <pivotField numFmtId="10" showAll="0"/>
    <pivotField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showAll="0"/>
    <pivotField numFmtId="169" showAll="0"/>
    <pivotField numFmtId="2" showAll="0"/>
    <pivotField showAll="0"/>
    <pivotField showAll="0"/>
  </pivotFields>
  <rowItems count="1">
    <i/>
  </rowItems>
  <colFields count="1">
    <field x="-2"/>
  </colFields>
  <colItems count="2">
    <i>
      <x/>
    </i>
    <i i="1">
      <x v="1"/>
    </i>
  </colItems>
  <dataFields count="2">
    <dataField name="LOSS" fld="3" baseField="0" baseItem="1"/>
    <dataField name="GAINS" fld="2" baseField="0" baseItem="1"/>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49439-DC33-445E-B7A6-3896A07A50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1">
    <pivotField numFmtId="167" showAll="0"/>
    <pivotField numFmtId="167" showAll="0"/>
    <pivotField numFmtId="167" showAll="0"/>
    <pivotField numFmtId="167" showAll="0"/>
    <pivotField dataField="1" numFmtId="167" showAll="0"/>
    <pivotField numFmtId="10" showAll="0"/>
    <pivotField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showAll="0"/>
    <pivotField numFmtId="169" showAll="0"/>
    <pivotField numFmtId="2" showAll="0"/>
    <pivotField showAll="0"/>
    <pivotField showAll="0"/>
  </pivotFields>
  <rowItems count="1">
    <i/>
  </rowItems>
  <colItems count="1">
    <i/>
  </colItems>
  <dataFields count="1">
    <dataField name="Sum of OVERALL" fld="4" baseField="0" baseItem="0" numFmtId="166"/>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1E9ED7-F085-4DB1-BC3A-ADCB0C5A9401}"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59:J162" firstHeaderRow="1" firstDataRow="2" firstDataCol="1"/>
  <pivotFields count="22">
    <pivotField showAll="0"/>
    <pivotField showAll="0"/>
    <pivotField axis="axisRow" showAll="0">
      <items count="9">
        <item h="1" x="1"/>
        <item x="2"/>
        <item h="1" x="3"/>
        <item h="1" x="4"/>
        <item h="1" x="5"/>
        <item h="1" x="0"/>
        <item h="1" m="1" x="6"/>
        <item h="1" m="1" x="7"/>
        <item t="default"/>
      </items>
    </pivotField>
    <pivotField showAll="0"/>
    <pivotField showAll="0"/>
    <pivotField showAll="0"/>
    <pivotField showAll="0"/>
    <pivotField showAll="0"/>
    <pivotField showAll="0"/>
    <pivotField showAll="0"/>
    <pivotField showAll="0"/>
    <pivotField showAll="0"/>
    <pivotField axis="axisCol" showAll="0">
      <items count="4">
        <item x="2"/>
        <item x="1"/>
        <item h="1" x="0"/>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2">
    <i>
      <x v="1"/>
    </i>
    <i t="grand">
      <x/>
    </i>
  </rowItems>
  <colFields count="1">
    <field x="12"/>
  </colFields>
  <colItems count="3">
    <i>
      <x/>
    </i>
    <i>
      <x v="1"/>
    </i>
    <i t="grand">
      <x/>
    </i>
  </colItems>
  <dataFields count="1">
    <dataField name="Sum of PROFIT / LOSS" fld="14" baseField="0" baseItem="0"/>
  </dataFields>
  <chartFormats count="2">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2498C-A4B1-42A7-9CDB-6054FC21CFA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56:N266" firstHeaderRow="1" firstDataRow="2" firstDataCol="1"/>
  <pivotFields count="22">
    <pivotField dataField="1" showAll="0"/>
    <pivotField showAll="0"/>
    <pivotField showAll="0"/>
    <pivotField axis="axisRow" showAll="0" sortType="ascending">
      <items count="14">
        <item m="1" x="12"/>
        <item x="8"/>
        <item m="1" x="11"/>
        <item x="4"/>
        <item x="1"/>
        <item x="0"/>
        <item x="2"/>
        <item x="3"/>
        <item x="5"/>
        <item x="6"/>
        <item x="7"/>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h="1" x="2"/>
        <item x="1"/>
        <item h="1" x="0"/>
        <item t="default"/>
      </items>
    </pivotField>
    <pivotField showAll="0"/>
    <pivotField showAll="0"/>
    <pivotField showAll="0"/>
    <pivotField axis="axisCol" showAll="0">
      <items count="4">
        <item x="2"/>
        <item h="1" x="1"/>
        <item h="1" x="0"/>
        <item t="default"/>
      </items>
    </pivotField>
    <pivotField showAll="0"/>
    <pivotField showAll="0"/>
    <pivotField showAll="0"/>
    <pivotField showAll="0"/>
    <pivotField showAll="0"/>
    <pivotField showAll="0"/>
    <pivotField showAll="0"/>
    <pivotField showAll="0"/>
    <pivotField showAll="0"/>
  </pivotFields>
  <rowFields count="1">
    <field x="3"/>
  </rowFields>
  <rowItems count="9">
    <i>
      <x v="7"/>
    </i>
    <i>
      <x v="11"/>
    </i>
    <i>
      <x v="6"/>
    </i>
    <i>
      <x v="4"/>
    </i>
    <i>
      <x v="1"/>
    </i>
    <i>
      <x v="9"/>
    </i>
    <i>
      <x v="12"/>
    </i>
    <i>
      <x v="8"/>
    </i>
    <i t="grand">
      <x/>
    </i>
  </rowItems>
  <colFields count="1">
    <field x="12"/>
  </colFields>
  <colItems count="2">
    <i>
      <x/>
    </i>
    <i t="grand">
      <x/>
    </i>
  </colItems>
  <dataFields count="1">
    <dataField name="Count of NO" fld="0" subtotal="count" baseField="3" baseItem="4"/>
  </dataFields>
  <chartFormats count="2">
    <chartFormat chart="3" format="2" series="1">
      <pivotArea type="data" outline="0" fieldPosition="0">
        <references count="2">
          <reference field="4294967294" count="1" selected="0">
            <x v="0"/>
          </reference>
          <reference field="12"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4AD7C3-8D60-4069-92B4-25BED6F5EB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1">
    <pivotField numFmtId="167" showAll="0"/>
    <pivotField dataField="1" numFmtId="167" showAll="0"/>
    <pivotField numFmtId="167" showAll="0"/>
    <pivotField numFmtId="167" showAll="0"/>
    <pivotField numFmtId="167" showAll="0"/>
    <pivotField numFmtId="10" showAll="0"/>
    <pivotField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showAll="0"/>
    <pivotField numFmtId="169" showAll="0"/>
    <pivotField numFmtId="2" showAll="0"/>
    <pivotField showAll="0"/>
    <pivotField showAll="0"/>
  </pivotFields>
  <rowItems count="1">
    <i/>
  </rowItems>
  <colItems count="1">
    <i/>
  </colItems>
  <dataFields count="1">
    <dataField name="Sum of END BALANCE" fld="1" baseField="0" baseItem="0" numFmtId="166"/>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9BFC95-603B-4C45-8096-490EFD10ACA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2:M5"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h="1"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NO" fld="0" subtotal="count" baseField="12"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2" count="1" selected="0">
            <x v="0"/>
          </reference>
        </references>
      </pivotArea>
    </chartFormat>
    <chartFormat chart="6"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F637E2-9C8B-45A8-87D0-DE60EBB3843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93:V103" firstHeaderRow="1" firstDataRow="2" firstDataCol="1"/>
  <pivotFields count="22">
    <pivotField dataField="1" showAll="0"/>
    <pivotField showAll="0"/>
    <pivotField showAll="0"/>
    <pivotField axis="axisRow" showAll="0" sortType="ascending">
      <items count="14">
        <item x="1"/>
        <item x="0"/>
        <item m="1" x="11"/>
        <item x="8"/>
        <item m="1" x="12"/>
        <item x="4"/>
        <item x="2"/>
        <item x="3"/>
        <item x="5"/>
        <item x="6"/>
        <item x="7"/>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4">
        <item h="1" m="1" x="32"/>
        <item h="1" x="1"/>
        <item h="1" m="1" x="31"/>
        <item h="1" m="1" x="30"/>
        <item h="1" m="1" x="4"/>
        <item x="2"/>
        <item h="1" x="3"/>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5"/>
        <item h="1" m="1" x="6"/>
        <item h="1" x="0"/>
        <item t="default"/>
      </items>
    </pivotField>
    <pivotField showAll="0"/>
    <pivotField showAll="0"/>
    <pivotField axis="axisCol" showAll="0" sortType="ascending">
      <items count="4">
        <item h="1" x="2"/>
        <item x="1"/>
        <item h="1" x="0"/>
        <item t="default"/>
      </items>
    </pivotField>
    <pivotField showAll="0"/>
    <pivotField showAll="0"/>
    <pivotField showAll="0"/>
    <pivotField showAll="0"/>
    <pivotField showAll="0"/>
    <pivotField showAll="0"/>
    <pivotField showAll="0"/>
    <pivotField showAll="0"/>
    <pivotField showAll="0"/>
  </pivotFields>
  <rowFields count="1">
    <field x="3"/>
  </rowFields>
  <rowItems count="9">
    <i>
      <x v="6"/>
    </i>
    <i>
      <x v="10"/>
    </i>
    <i>
      <x v="9"/>
    </i>
    <i>
      <x v="3"/>
    </i>
    <i>
      <x v="12"/>
    </i>
    <i>
      <x v="11"/>
    </i>
    <i>
      <x v="8"/>
    </i>
    <i>
      <x v="7"/>
    </i>
    <i t="grand">
      <x/>
    </i>
  </rowItems>
  <colFields count="1">
    <field x="12"/>
  </colFields>
  <colItems count="2">
    <i>
      <x v="1"/>
    </i>
    <i t="grand">
      <x/>
    </i>
  </colItems>
  <dataFields count="1">
    <dataField name="Count of NO" fld="0" subtotal="count" baseField="12" baseItem="1"/>
  </dataFields>
  <chartFormats count="2">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6BD5DB-B61D-41AD-A9F8-90C21218BBF2}"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59:Z161" firstHeaderRow="1" firstDataRow="1" firstDataCol="1"/>
  <pivotFields count="22">
    <pivotField showAll="0"/>
    <pivotField showAll="0"/>
    <pivotField showAll="0">
      <items count="9">
        <item h="1" x="1"/>
        <item x="2"/>
        <item h="1" x="3"/>
        <item h="1" x="4"/>
        <item h="1" x="5"/>
        <item h="1" m="1" x="6"/>
        <item h="1" m="1" x="7"/>
        <item h="1" x="0"/>
        <item t="default"/>
      </items>
    </pivotField>
    <pivotField showAll="0"/>
    <pivotField showAll="0"/>
    <pivotField showAll="0"/>
    <pivotField showAll="0"/>
    <pivotField showAll="0"/>
    <pivotField showAll="0"/>
    <pivotField showAll="0"/>
    <pivotField showAll="0"/>
    <pivotField showAll="0"/>
    <pivotField axis="axisRow" showAll="0">
      <items count="4">
        <item h="1" x="2"/>
        <item x="1"/>
        <item h="1" x="0"/>
        <item t="default"/>
      </items>
    </pivotField>
    <pivotField showAll="0"/>
    <pivotField showAll="0"/>
    <pivotField dataField="1" showAll="0"/>
    <pivotField showAll="0"/>
    <pivotField showAll="0"/>
    <pivotField showAll="0"/>
    <pivotField showAll="0"/>
    <pivotField showAll="0"/>
    <pivotField showAll="0"/>
  </pivotFields>
  <rowFields count="1">
    <field x="12"/>
  </rowFields>
  <rowItems count="2">
    <i>
      <x v="1"/>
    </i>
    <i t="grand">
      <x/>
    </i>
  </rowItems>
  <colItems count="1">
    <i/>
  </colItems>
  <dataFields count="1">
    <dataField name="Average of RISK : REWARD" fld="15" subtotal="average" baseField="12"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0695DC-6661-4103-A8A0-AAF75CBE45D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Q256:R259" firstHeaderRow="1" firstDataRow="1" firstDataCol="1"/>
  <pivotFields count="22">
    <pivotField dataField="1" showAll="0"/>
    <pivotField showAll="0"/>
    <pivotField showAll="0"/>
    <pivotField showAll="0"/>
    <pivotField showAll="0"/>
    <pivotField showAll="0"/>
    <pivotField showAll="0"/>
    <pivotField showAll="0"/>
    <pivotField showAll="0">
      <items count="4">
        <item h="1" x="2"/>
        <item x="1"/>
        <item h="1" x="0"/>
        <item t="default"/>
      </items>
    </pivotField>
    <pivotField showAll="0"/>
    <pivotField showAll="0"/>
    <pivotField showAll="0"/>
    <pivotField axis="axisRow" showAll="0">
      <items count="4">
        <item x="2"/>
        <item x="1"/>
        <item h="1"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NO" fld="0" subtotal="count" baseField="8" baseItem="1"/>
  </dataFields>
  <chartFormats count="3">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2" count="1" selected="0">
            <x v="1"/>
          </reference>
        </references>
      </pivotArea>
    </chartFormat>
    <chartFormat chart="14" format="10">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60777B-31E6-4392-88C6-08F42ACBC13E}" name="PivotTable3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AN3" firstHeaderRow="1" firstDataRow="1" firstDataCol="0"/>
  <pivotFields count="1">
    <pivotField dataField="1" numFmtId="2" showAll="0"/>
  </pivotFields>
  <rowItems count="1">
    <i/>
  </rowItems>
  <colItems count="1">
    <i/>
  </colItems>
  <dataFields count="1">
    <dataField name="Sum of AVG MARKET REWARD" fld="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D10E3A-3785-4093-8733-8E8F1A199AE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93:R96" firstHeaderRow="1" firstDataRow="1" firstDataCol="1"/>
  <pivotFields count="22">
    <pivotField dataField="1" showAll="0"/>
    <pivotField showAll="0"/>
    <pivotField showAll="0"/>
    <pivotField showAll="0"/>
    <pivotField showAll="0"/>
    <pivotField showAll="0"/>
    <pivotField showAll="0"/>
    <pivotField showAll="0"/>
    <pivotField showAll="0"/>
    <pivotField showAll="0">
      <items count="34">
        <item h="1" m="1" x="32"/>
        <item h="1" x="1"/>
        <item h="1" m="1" x="31"/>
        <item h="1" m="1" x="30"/>
        <item h="1" m="1" x="4"/>
        <item x="2"/>
        <item h="1" x="3"/>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5"/>
        <item h="1" m="1" x="6"/>
        <item h="1" x="0"/>
        <item t="default"/>
      </items>
    </pivotField>
    <pivotField showAll="0"/>
    <pivotField showAll="0"/>
    <pivotField axis="axisRow" showAll="0">
      <items count="4">
        <item x="2"/>
        <item x="1"/>
        <item h="1"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NO" fld="0" subtotal="count" baseField="12" baseItem="0"/>
  </dataFields>
  <chartFormats count="3">
    <chartFormat chart="4" format="8"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3C06FF-9889-4B0D-8234-BC8672D241A1}"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159:S164" firstHeaderRow="1" firstDataRow="2" firstDataCol="1"/>
  <pivotFields count="22">
    <pivotField dataField="1" showAll="0"/>
    <pivotField showAll="0"/>
    <pivotField showAll="0">
      <items count="9">
        <item h="1" x="1"/>
        <item x="2"/>
        <item h="1" x="3"/>
        <item h="1" x="4"/>
        <item h="1" x="5"/>
        <item h="1" m="1" x="6"/>
        <item h="1" m="1" x="7"/>
        <item h="1" x="0"/>
        <item t="default"/>
      </items>
    </pivotField>
    <pivotField axis="axisRow" showAll="0" sortType="ascending">
      <items count="14">
        <item m="1" x="12"/>
        <item x="8"/>
        <item m="1" x="11"/>
        <item x="1"/>
        <item x="0"/>
        <item x="4"/>
        <item x="2"/>
        <item x="3"/>
        <item x="5"/>
        <item x="6"/>
        <item x="7"/>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Col" showAll="0">
      <items count="4">
        <item x="2"/>
        <item h="1" x="1"/>
        <item h="1"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v="7"/>
    </i>
    <i>
      <x v="8"/>
    </i>
    <i>
      <x v="9"/>
    </i>
    <i t="grand">
      <x/>
    </i>
  </rowItems>
  <colFields count="1">
    <field x="12"/>
  </colFields>
  <colItems count="2">
    <i>
      <x/>
    </i>
    <i t="grand">
      <x/>
    </i>
  </colItems>
  <dataFields count="1">
    <dataField name="Count of NO" fld="0" subtotal="count" baseField="3" baseItem="3"/>
  </dataFields>
  <chartFormats count="3">
    <chartFormat chart="3" format="6" series="1">
      <pivotArea type="data" outline="0" fieldPosition="0">
        <references count="1">
          <reference field="4294967294" count="1" selected="0">
            <x v="0"/>
          </reference>
        </references>
      </pivotArea>
    </chartFormat>
    <chartFormat chart="7" format="2" series="1">
      <pivotArea type="data" outline="0" fieldPosition="0">
        <references count="2">
          <reference field="4294967294" count="1" selected="0">
            <x v="0"/>
          </reference>
          <reference field="12"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EA53C5-2785-4B3C-B10D-37D801FA8839}"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S3" firstHeaderRow="1" firstDataRow="1" firstDataCol="0"/>
  <pivotFields count="21">
    <pivotField numFmtId="167" showAll="0"/>
    <pivotField numFmtId="167" showAll="0"/>
    <pivotField numFmtId="167" showAll="0"/>
    <pivotField numFmtId="167" showAll="0"/>
    <pivotField numFmtId="167" showAll="0"/>
    <pivotField numFmtId="10" showAll="0"/>
    <pivotField dataField="1"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numFmtId="167" showAll="0"/>
    <pivotField numFmtId="169" showAll="0"/>
    <pivotField numFmtId="2" showAll="0"/>
    <pivotField showAll="0"/>
    <pivotField showAll="0"/>
  </pivotFields>
  <rowItems count="1">
    <i/>
  </rowItems>
  <colItems count="1">
    <i/>
  </colItems>
  <dataFields count="1">
    <dataField name="Sum of TOTAL TRAD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542F7B-F608-4802-9277-46CE7F93789F}"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9:E162" firstHeaderRow="1" firstDataRow="1" firstDataCol="1"/>
  <pivotFields count="22">
    <pivotField dataField="1" showAll="0"/>
    <pivotField showAll="0"/>
    <pivotField showAll="0">
      <items count="9">
        <item h="1" x="1"/>
        <item x="2"/>
        <item h="1" x="3"/>
        <item h="1" x="4"/>
        <item h="1" x="5"/>
        <item h="1" m="1" x="6"/>
        <item h="1" m="1" x="7"/>
        <item h="1" x="0"/>
        <item t="default"/>
      </items>
    </pivotField>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NO"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F3A007-BB74-48D8-86BF-3AECA0FD71DC}"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2:AH3" firstHeaderRow="1" firstDataRow="1" firstDataCol="0"/>
  <pivotFields count="21">
    <pivotField numFmtId="167" showAll="0"/>
    <pivotField numFmtId="167" showAll="0"/>
    <pivotField numFmtId="167" showAll="0"/>
    <pivotField numFmtId="167" showAll="0"/>
    <pivotField numFmtId="167" showAll="0"/>
    <pivotField numFmtId="10" showAll="0"/>
    <pivotField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numFmtId="167" showAll="0"/>
    <pivotField dataField="1" numFmtId="169" showAll="0"/>
    <pivotField numFmtId="2" showAll="0"/>
    <pivotField showAll="0"/>
    <pivotField showAll="0"/>
  </pivotFields>
  <rowItems count="1">
    <i/>
  </rowItems>
  <colItems count="1">
    <i/>
  </colItems>
  <dataFields count="1">
    <dataField name="Sum of AVERAGE WIN TIMING" fld="17"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3FC91E-3222-4A43-B8F4-5A7B1D10012D}"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256:V268" firstHeaderRow="1" firstDataRow="2" firstDataCol="1"/>
  <pivotFields count="22">
    <pivotField dataField="1" showAll="0"/>
    <pivotField showAll="0"/>
    <pivotField showAll="0"/>
    <pivotField axis="axisRow" showAll="0" sortType="ascending">
      <items count="14">
        <item x="0"/>
        <item x="9"/>
        <item x="5"/>
        <item x="1"/>
        <item x="6"/>
        <item x="2"/>
        <item x="7"/>
        <item x="4"/>
        <item x="10"/>
        <item m="1" x="11"/>
        <item x="3"/>
        <item x="8"/>
        <item m="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h="1" x="2"/>
        <item x="1"/>
        <item h="1" x="0"/>
        <item t="default"/>
      </items>
    </pivotField>
    <pivotField showAll="0"/>
    <pivotField showAll="0"/>
    <pivotField showAll="0"/>
    <pivotField axis="axisCol" showAll="0">
      <items count="4">
        <item h="1" x="2"/>
        <item x="1"/>
        <item h="1" x="0"/>
        <item t="default"/>
      </items>
    </pivotField>
    <pivotField showAll="0"/>
    <pivotField showAll="0"/>
    <pivotField showAll="0"/>
    <pivotField showAll="0"/>
    <pivotField showAll="0"/>
    <pivotField showAll="0"/>
    <pivotField showAll="0"/>
    <pivotField showAll="0"/>
    <pivotField showAll="0"/>
  </pivotFields>
  <rowFields count="1">
    <field x="3"/>
  </rowFields>
  <rowItems count="11">
    <i>
      <x v="7"/>
    </i>
    <i>
      <x v="3"/>
    </i>
    <i>
      <x v="5"/>
    </i>
    <i>
      <x v="8"/>
    </i>
    <i>
      <x v="6"/>
    </i>
    <i>
      <x v="10"/>
    </i>
    <i>
      <x v="4"/>
    </i>
    <i>
      <x v="1"/>
    </i>
    <i>
      <x v="11"/>
    </i>
    <i>
      <x v="2"/>
    </i>
    <i t="grand">
      <x/>
    </i>
  </rowItems>
  <colFields count="1">
    <field x="12"/>
  </colFields>
  <colItems count="2">
    <i>
      <x v="1"/>
    </i>
    <i t="grand">
      <x/>
    </i>
  </colItems>
  <dataFields count="1">
    <dataField name="Count of NO" fld="0" subtotal="count" baseField="12" baseItem="0"/>
  </dataFields>
  <chartFormats count="2">
    <chartFormat chart="3" format="6" series="1">
      <pivotArea type="data" outline="0" fieldPosition="0">
        <references count="1">
          <reference field="4294967294" count="1" selected="0">
            <x v="0"/>
          </reference>
        </references>
      </pivotArea>
    </chartFormat>
    <chartFormat chart="3" format="10"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0BE64B-BEB0-4784-B02F-02DAE883602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56:J259" firstHeaderRow="1" firstDataRow="2" firstDataCol="1"/>
  <pivotFields count="22">
    <pivotField showAll="0"/>
    <pivotField showAll="0"/>
    <pivotField showAll="0"/>
    <pivotField showAll="0"/>
    <pivotField showAll="0"/>
    <pivotField showAll="0"/>
    <pivotField showAll="0"/>
    <pivotField showAll="0"/>
    <pivotField axis="axisRow" showAll="0">
      <items count="4">
        <item h="1" x="2"/>
        <item x="1"/>
        <item h="1" x="0"/>
        <item t="default"/>
      </items>
    </pivotField>
    <pivotField showAll="0"/>
    <pivotField showAll="0"/>
    <pivotField showAll="0"/>
    <pivotField axis="axisCol" showAll="0">
      <items count="4">
        <item x="2"/>
        <item x="1"/>
        <item h="1" x="0"/>
        <item t="default"/>
      </items>
    </pivotField>
    <pivotField showAll="0"/>
    <pivotField dataField="1" showAll="0"/>
    <pivotField showAll="0"/>
    <pivotField showAll="0"/>
    <pivotField showAll="0"/>
    <pivotField showAll="0"/>
    <pivotField showAll="0"/>
    <pivotField showAll="0"/>
    <pivotField showAll="0"/>
  </pivotFields>
  <rowFields count="1">
    <field x="8"/>
  </rowFields>
  <rowItems count="2">
    <i>
      <x v="1"/>
    </i>
    <i t="grand">
      <x/>
    </i>
  </rowItems>
  <colFields count="1">
    <field x="12"/>
  </colFields>
  <colItems count="3">
    <i>
      <x/>
    </i>
    <i>
      <x v="1"/>
    </i>
    <i t="grand">
      <x/>
    </i>
  </colItems>
  <dataFields count="1">
    <dataField name="Sum of PROFIT / LOSS" fld="14" baseField="0" baseItem="0"/>
  </dataFields>
  <chartFormats count="6">
    <chartFormat chart="5" format="8" series="1">
      <pivotArea type="data" outline="0" fieldPosition="0">
        <references count="2">
          <reference field="4294967294" count="1" selected="0">
            <x v="0"/>
          </reference>
          <reference field="12" count="1" selected="0">
            <x v="0"/>
          </reference>
        </references>
      </pivotArea>
    </chartFormat>
    <chartFormat chart="5" format="9" series="1">
      <pivotArea type="data" outline="0" fieldPosition="0">
        <references count="2">
          <reference field="4294967294" count="1" selected="0">
            <x v="0"/>
          </reference>
          <reference field="12" count="1" selected="0">
            <x v="1"/>
          </reference>
        </references>
      </pivotArea>
    </chartFormat>
    <chartFormat chart="7" format="12" series="1">
      <pivotArea type="data" outline="0" fieldPosition="0">
        <references count="2">
          <reference field="4294967294" count="1" selected="0">
            <x v="0"/>
          </reference>
          <reference field="12" count="1" selected="0">
            <x v="0"/>
          </reference>
        </references>
      </pivotArea>
    </chartFormat>
    <chartFormat chart="7" format="13" series="1">
      <pivotArea type="data" outline="0" fieldPosition="0">
        <references count="2">
          <reference field="4294967294" count="1" selected="0">
            <x v="0"/>
          </reference>
          <reference field="12" count="1" selected="0">
            <x v="1"/>
          </reference>
        </references>
      </pivotArea>
    </chartFormat>
    <chartFormat chart="7" format="1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EB7C10B-DB23-4D23-9079-9BB08D9CF67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3:B94" firstHeaderRow="1" firstDataRow="1" firstDataCol="0"/>
  <pivotFields count="22">
    <pivotField dataField="1" showAll="0"/>
    <pivotField showAll="0"/>
    <pivotField showAll="0"/>
    <pivotField showAll="0"/>
    <pivotField showAll="0"/>
    <pivotField showAll="0"/>
    <pivotField showAll="0"/>
    <pivotField showAll="0"/>
    <pivotField showAll="0"/>
    <pivotField showAll="0">
      <items count="34">
        <item h="1" m="1" x="32"/>
        <item h="1" x="1"/>
        <item h="1" m="1" x="31"/>
        <item h="1" m="1" x="30"/>
        <item h="1" m="1" x="4"/>
        <item x="2"/>
        <item h="1" x="3"/>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5"/>
        <item h="1" m="1" x="6"/>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CC753F0-B11F-4228-8FE5-2711B1771955}"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AD3" firstHeaderRow="1" firstDataRow="1" firstDataCol="0"/>
  <pivotFields count="21">
    <pivotField numFmtId="167" showAll="0"/>
    <pivotField numFmtId="167" showAll="0"/>
    <pivotField numFmtId="167" showAll="0"/>
    <pivotField numFmtId="167" showAll="0"/>
    <pivotField numFmtId="167" showAll="0"/>
    <pivotField numFmtId="10" showAll="0"/>
    <pivotField showAll="0"/>
    <pivotField showAll="0"/>
    <pivotField showAll="0"/>
    <pivotField numFmtId="10" showAll="0"/>
    <pivotField numFmtId="2" showAll="0"/>
    <pivotField numFmtId="10" showAll="0"/>
    <pivotField numFmtId="10" showAll="0"/>
    <pivotField numFmtId="167" showAll="0"/>
    <pivotField numFmtId="167" showAll="0"/>
    <pivotField dataField="1" numFmtId="167" showAll="0"/>
    <pivotField numFmtId="167" showAll="0"/>
    <pivotField numFmtId="169" showAll="0"/>
    <pivotField numFmtId="2" showAll="0"/>
    <pivotField showAll="0"/>
    <pivotField showAll="0"/>
  </pivotFields>
  <rowItems count="1">
    <i/>
  </rowItems>
  <colItems count="1">
    <i/>
  </colItems>
  <dataFields count="1">
    <dataField name="Sum of AVERAGE PROFIT2" fld="15"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0718F77-2BE9-47C3-AF3E-49FEDAE003F5}"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9:B160" firstHeaderRow="1" firstDataRow="1" firstDataCol="0"/>
  <pivotFields count="22">
    <pivotField dataField="1" showAll="0"/>
    <pivotField showAll="0"/>
    <pivotField showAll="0">
      <items count="9">
        <item h="1" x="1"/>
        <item x="2"/>
        <item h="1" x="3"/>
        <item h="1" x="4"/>
        <item h="1" x="5"/>
        <item h="1" m="1" x="6"/>
        <item h="1" m="1" x="7"/>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85E911A-6FBD-41BD-8981-71535741AFA5}"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59:N164" firstHeaderRow="1" firstDataRow="2" firstDataCol="1"/>
  <pivotFields count="22">
    <pivotField dataField="1" showAll="0"/>
    <pivotField showAll="0"/>
    <pivotField showAll="0">
      <items count="9">
        <item h="1" x="1"/>
        <item x="2"/>
        <item h="1" x="3"/>
        <item h="1" x="4"/>
        <item h="1" x="5"/>
        <item h="1" m="1" x="6"/>
        <item h="1" m="1" x="7"/>
        <item h="1" x="0"/>
        <item t="default"/>
      </items>
    </pivotField>
    <pivotField axis="axisRow" showAll="0" sortType="ascending">
      <items count="14">
        <item m="1" x="12"/>
        <item x="8"/>
        <item m="1" x="11"/>
        <item x="1"/>
        <item x="0"/>
        <item x="4"/>
        <item x="2"/>
        <item x="3"/>
        <item x="5"/>
        <item x="6"/>
        <item x="7"/>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Col" showAll="0">
      <items count="4">
        <item h="1" x="2"/>
        <item x="1"/>
        <item h="1"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v="6"/>
    </i>
    <i>
      <x v="5"/>
    </i>
    <i>
      <x v="9"/>
    </i>
    <i t="grand">
      <x/>
    </i>
  </rowItems>
  <colFields count="1">
    <field x="12"/>
  </colFields>
  <colItems count="2">
    <i>
      <x v="1"/>
    </i>
    <i t="grand">
      <x/>
    </i>
  </colItems>
  <dataFields count="1">
    <dataField name="Count of NO" fld="0" subtotal="count" baseField="3" baseItem="3"/>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5CC4461-AC18-4E93-AEC1-92FE85EE9A5A}"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W3" firstHeaderRow="1" firstDataRow="1" firstDataCol="0"/>
  <pivotFields count="21">
    <pivotField numFmtId="167" showAll="0"/>
    <pivotField numFmtId="167" showAll="0"/>
    <pivotField numFmtId="167" showAll="0"/>
    <pivotField numFmtId="167" showAll="0"/>
    <pivotField numFmtId="167" showAll="0"/>
    <pivotField numFmtId="10" showAll="0"/>
    <pivotField showAll="0"/>
    <pivotField dataField="1" showAll="0"/>
    <pivotField showAll="0"/>
    <pivotField numFmtId="10" showAll="0"/>
    <pivotField numFmtId="2" showAll="0"/>
    <pivotField numFmtId="10" showAll="0"/>
    <pivotField numFmtId="10" showAll="0"/>
    <pivotField numFmtId="167" showAll="0"/>
    <pivotField numFmtId="167" showAll="0"/>
    <pivotField numFmtId="167" showAll="0"/>
    <pivotField numFmtId="167" showAll="0"/>
    <pivotField numFmtId="169" showAll="0"/>
    <pivotField numFmtId="2" showAll="0"/>
    <pivotField showAll="0"/>
    <pivotField showAll="0"/>
  </pivotFields>
  <rowItems count="1">
    <i/>
  </rowItems>
  <colItems count="1">
    <i/>
  </colItems>
  <dataFields count="1">
    <dataField name="Sum of TOTAL WI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2F04B88-3204-4836-9794-A735988A65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21">
    <pivotField numFmtId="167" showAll="0"/>
    <pivotField numFmtId="167" showAll="0"/>
    <pivotField numFmtId="167" showAll="0"/>
    <pivotField numFmtId="167" showAll="0"/>
    <pivotField numFmtId="167" showAll="0"/>
    <pivotField dataField="1" numFmtId="10" showAll="0"/>
    <pivotField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showAll="0"/>
    <pivotField numFmtId="169" showAll="0"/>
    <pivotField numFmtId="2" showAll="0"/>
    <pivotField showAll="0"/>
    <pivotField showAll="0"/>
  </pivotFields>
  <rowItems count="1">
    <i/>
  </rowItems>
  <colItems count="1">
    <i/>
  </colItems>
  <dataFields count="1">
    <dataField name="Sum of OVERALL %" fld="5" baseField="0" baseItem="0" numFmtId="1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A99428C-205F-4192-A939-3B0BCD711F4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93:J96" firstHeaderRow="1" firstDataRow="2" firstDataCol="1"/>
  <pivotFields count="22">
    <pivotField showAll="0"/>
    <pivotField showAll="0"/>
    <pivotField showAll="0"/>
    <pivotField showAll="0"/>
    <pivotField showAll="0"/>
    <pivotField showAll="0"/>
    <pivotField showAll="0"/>
    <pivotField showAll="0"/>
    <pivotField showAll="0"/>
    <pivotField axis="axisRow" showAll="0">
      <items count="34">
        <item h="1" m="1" x="32"/>
        <item h="1" m="1" x="31"/>
        <item h="1" m="1" x="30"/>
        <item h="1" x="0"/>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x="1"/>
        <item x="2"/>
        <item h="1" x="3"/>
        <item t="default"/>
      </items>
    </pivotField>
    <pivotField showAll="0"/>
    <pivotField showAll="0"/>
    <pivotField axis="axisCol" showAll="0">
      <items count="4">
        <item x="2"/>
        <item x="1"/>
        <item h="1" x="0"/>
        <item t="default"/>
      </items>
    </pivotField>
    <pivotField showAll="0"/>
    <pivotField dataField="1" showAll="0"/>
    <pivotField showAll="0"/>
    <pivotField showAll="0"/>
    <pivotField showAll="0"/>
    <pivotField showAll="0"/>
    <pivotField showAll="0"/>
    <pivotField showAll="0"/>
    <pivotField showAll="0"/>
  </pivotFields>
  <rowFields count="1">
    <field x="9"/>
  </rowFields>
  <rowItems count="2">
    <i>
      <x v="31"/>
    </i>
    <i t="grand">
      <x/>
    </i>
  </rowItems>
  <colFields count="1">
    <field x="12"/>
  </colFields>
  <colItems count="3">
    <i>
      <x/>
    </i>
    <i>
      <x v="1"/>
    </i>
    <i t="grand">
      <x/>
    </i>
  </colItems>
  <dataFields count="1">
    <dataField name="Sum of PROFIT / LOSS" fld="14" baseField="0" baseItem="0"/>
  </dataFields>
  <chartFormats count="5">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pivotArea type="data" outline="0" fieldPosition="0">
        <references count="3">
          <reference field="4294967294" count="1" selected="0">
            <x v="0"/>
          </reference>
          <reference field="9" count="1" selected="0">
            <x v="0"/>
          </reference>
          <reference field="12" count="1" selected="0">
            <x v="1"/>
          </reference>
        </references>
      </pivotArea>
    </chartFormat>
    <chartFormat chart="3" format="11">
      <pivotArea type="data" outline="0" fieldPosition="0">
        <references count="3">
          <reference field="4294967294" count="1" selected="0">
            <x v="0"/>
          </reference>
          <reference field="9" count="1" selected="0">
            <x v="1"/>
          </reference>
          <reference field="12" count="1" selected="0">
            <x v="1"/>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C2DCCC2-01B6-4825-86CA-02871E010C3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Z3" firstHeaderRow="1" firstDataRow="1" firstDataCol="0"/>
  <pivotFields count="21">
    <pivotField numFmtId="167" showAll="0"/>
    <pivotField numFmtId="167" showAll="0"/>
    <pivotField numFmtId="167" showAll="0"/>
    <pivotField numFmtId="167" showAll="0"/>
    <pivotField numFmtId="167" showAll="0"/>
    <pivotField numFmtId="10" showAll="0"/>
    <pivotField showAll="0"/>
    <pivotField showAll="0"/>
    <pivotField dataField="1" showAll="0"/>
    <pivotField numFmtId="10" showAll="0"/>
    <pivotField numFmtId="2" showAll="0"/>
    <pivotField numFmtId="10" showAll="0"/>
    <pivotField numFmtId="10" showAll="0"/>
    <pivotField numFmtId="167" showAll="0"/>
    <pivotField numFmtId="167" showAll="0"/>
    <pivotField numFmtId="167" showAll="0"/>
    <pivotField numFmtId="167" showAll="0"/>
    <pivotField numFmtId="169" showAll="0"/>
    <pivotField numFmtId="2" showAll="0"/>
    <pivotField showAll="0"/>
    <pivotField showAll="0"/>
  </pivotFields>
  <rowItems count="1">
    <i/>
  </rowItems>
  <colItems count="1">
    <i/>
  </colItems>
  <dataFields count="1">
    <dataField name="Sum of TOTAL LOSS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0E55CC8-C1A8-420E-80C8-2C20702632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1">
    <pivotField dataField="1" numFmtId="167" showAll="0"/>
    <pivotField numFmtId="167" showAll="0"/>
    <pivotField numFmtId="167" showAll="0"/>
    <pivotField numFmtId="167" showAll="0"/>
    <pivotField numFmtId="167" showAll="0"/>
    <pivotField numFmtId="10" showAll="0"/>
    <pivotField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showAll="0"/>
    <pivotField numFmtId="169" showAll="0"/>
    <pivotField numFmtId="2" showAll="0"/>
    <pivotField showAll="0"/>
    <pivotField showAll="0"/>
  </pivotFields>
  <rowItems count="1">
    <i/>
  </rowItems>
  <colItems count="1">
    <i/>
  </colItems>
  <dataFields count="1">
    <dataField name="Sum of CAPITAL" fld="0" baseField="0" baseItem="0" numFmtId="167"/>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E820492-8979-4F51-87C6-1B66E0133C7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6:B257" firstHeaderRow="1" firstDataRow="1" firstDataCol="0"/>
  <pivotFields count="22">
    <pivotField dataField="1" showAll="0"/>
    <pivotField showAll="0"/>
    <pivotField showAll="0"/>
    <pivotField showAll="0"/>
    <pivotField showAll="0"/>
    <pivotField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03CEC5A-DF6E-4A70-9D84-304C65A52D5D}"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6:E259" firstHeaderRow="1" firstDataRow="1" firstDataCol="1"/>
  <pivotFields count="22">
    <pivotField dataField="1" showAll="0"/>
    <pivotField showAll="0"/>
    <pivotField showAll="0"/>
    <pivotField showAll="0"/>
    <pivotField showAll="0"/>
    <pivotField showAll="0"/>
    <pivotField showAll="0"/>
    <pivotField showAll="0"/>
    <pivotField showAll="0">
      <items count="4">
        <item h="1" x="2"/>
        <item x="1"/>
        <item h="1" x="0"/>
        <item t="default"/>
      </items>
    </pivotField>
    <pivotField showAll="0"/>
    <pivotField showAll="0"/>
    <pivotField showAll="0"/>
    <pivotField axis="axisRow" showAll="0">
      <items count="4">
        <item x="2"/>
        <item x="1"/>
        <item h="1"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FC386F6-9D06-41ED-9E3C-A4E36693BE33}"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93:Z95" firstHeaderRow="1" firstDataRow="1" firstDataCol="1"/>
  <pivotFields count="22">
    <pivotField showAll="0"/>
    <pivotField showAll="0"/>
    <pivotField showAll="0"/>
    <pivotField showAll="0"/>
    <pivotField showAll="0"/>
    <pivotField showAll="0"/>
    <pivotField showAll="0"/>
    <pivotField showAll="0"/>
    <pivotField showAll="0">
      <items count="4">
        <item h="1" x="2"/>
        <item x="1"/>
        <item h="1" x="0"/>
        <item t="default"/>
      </items>
    </pivotField>
    <pivotField showAll="0">
      <items count="34">
        <item h="1" m="1" x="32"/>
        <item h="1" x="1"/>
        <item h="1" m="1" x="31"/>
        <item h="1" m="1" x="30"/>
        <item h="1" m="1" x="4"/>
        <item x="2"/>
        <item h="1" x="3"/>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5"/>
        <item h="1" m="1" x="6"/>
        <item h="1" x="0"/>
        <item t="default"/>
      </items>
    </pivotField>
    <pivotField showAll="0"/>
    <pivotField showAll="0"/>
    <pivotField axis="axisRow" showAll="0">
      <items count="4">
        <item h="1" x="2"/>
        <item x="1"/>
        <item h="1" x="0"/>
        <item t="default"/>
      </items>
    </pivotField>
    <pivotField showAll="0"/>
    <pivotField showAll="0"/>
    <pivotField dataField="1" showAll="0"/>
    <pivotField showAll="0"/>
    <pivotField showAll="0"/>
    <pivotField showAll="0"/>
    <pivotField showAll="0"/>
    <pivotField showAll="0"/>
    <pivotField showAll="0"/>
  </pivotFields>
  <rowFields count="1">
    <field x="12"/>
  </rowFields>
  <rowItems count="2">
    <i>
      <x v="1"/>
    </i>
    <i t="grand">
      <x/>
    </i>
  </rowItems>
  <colItems count="1">
    <i/>
  </colItems>
  <dataFields count="1">
    <dataField name="Average of RISK : REWARD" fld="15" subtotal="average" baseField="12"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6DF9C29-C712-4940-9CA3-B445FD658429}"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159:W162" firstHeaderRow="1" firstDataRow="1" firstDataCol="1"/>
  <pivotFields count="22">
    <pivotField dataField="1" showAll="0"/>
    <pivotField showAll="0"/>
    <pivotField showAll="0">
      <items count="9">
        <item h="1" x="1"/>
        <item x="2"/>
        <item h="1" x="3"/>
        <item h="1" x="4"/>
        <item h="1" x="5"/>
        <item h="1" m="1" x="6"/>
        <item h="1" m="1" x="7"/>
        <item h="1" x="0"/>
        <item t="default"/>
      </items>
    </pivotField>
    <pivotField showAll="0"/>
    <pivotField showAll="0"/>
    <pivotField showAll="0"/>
    <pivotField showAll="0"/>
    <pivotField showAll="0"/>
    <pivotField showAll="0"/>
    <pivotField showAll="0"/>
    <pivotField showAll="0"/>
    <pivotField showAll="0"/>
    <pivotField axis="axisRow" showAll="0">
      <items count="4">
        <item x="2"/>
        <item x="1"/>
        <item h="1"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NO" fld="0" subtotal="count" baseField="2"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C37BEEA-F3CB-461C-AF7A-0D8BB876507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3:E96" firstHeaderRow="1" firstDataRow="1" firstDataCol="1"/>
  <pivotFields count="22">
    <pivotField dataField="1" showAll="0"/>
    <pivotField showAll="0"/>
    <pivotField showAll="0"/>
    <pivotField showAll="0"/>
    <pivotField showAll="0"/>
    <pivotField showAll="0"/>
    <pivotField showAll="0"/>
    <pivotField showAll="0"/>
    <pivotField showAll="0"/>
    <pivotField showAll="0">
      <items count="34">
        <item h="1" m="1" x="32"/>
        <item h="1" x="1"/>
        <item h="1" m="1" x="31"/>
        <item h="1" m="1" x="30"/>
        <item h="1" m="1" x="4"/>
        <item x="2"/>
        <item h="1" x="3"/>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5"/>
        <item h="1" m="1" x="6"/>
        <item h="1" x="0"/>
        <item t="default"/>
      </items>
    </pivotField>
    <pivotField showAll="0"/>
    <pivotField showAll="0"/>
    <pivotField axis="axisRow" showAll="0">
      <items count="4">
        <item x="2"/>
        <item x="1"/>
        <item h="1"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NO"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DB53C4D-5A3A-4D2C-A3AF-D2086522A742}"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2:AF3" firstHeaderRow="1" firstDataRow="1" firstDataCol="0"/>
  <pivotFields count="21">
    <pivotField numFmtId="167" showAll="0"/>
    <pivotField numFmtId="167" showAll="0"/>
    <pivotField numFmtId="167" showAll="0"/>
    <pivotField numFmtId="167" showAll="0"/>
    <pivotField numFmtId="167" showAll="0"/>
    <pivotField numFmtId="10" showAll="0"/>
    <pivotField showAll="0"/>
    <pivotField showAll="0"/>
    <pivotField showAll="0"/>
    <pivotField numFmtId="10" showAll="0"/>
    <pivotField numFmtId="2" showAll="0"/>
    <pivotField numFmtId="10" showAll="0"/>
    <pivotField numFmtId="10" showAll="0"/>
    <pivotField numFmtId="167" showAll="0"/>
    <pivotField numFmtId="167" showAll="0"/>
    <pivotField numFmtId="167" showAll="0"/>
    <pivotField dataField="1" numFmtId="167" showAll="0"/>
    <pivotField numFmtId="169" showAll="0"/>
    <pivotField numFmtId="2" showAll="0"/>
    <pivotField showAll="0"/>
    <pivotField showAll="0"/>
  </pivotFields>
  <rowItems count="1">
    <i/>
  </rowItems>
  <colItems count="1">
    <i/>
  </colItems>
  <dataFields count="1">
    <dataField name="Sum of AVERAGE LOSS" fld="16"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CCC047A-032D-4647-A0D2-EFCC8A3E30C3}"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2:AB3" firstHeaderRow="1" firstDataRow="1" firstDataCol="0"/>
  <pivotFields count="21">
    <pivotField numFmtId="167" showAll="0"/>
    <pivotField numFmtId="167" showAll="0"/>
    <pivotField numFmtId="167" showAll="0"/>
    <pivotField numFmtId="167" showAll="0"/>
    <pivotField numFmtId="167" showAll="0"/>
    <pivotField numFmtId="10" showAll="0"/>
    <pivotField showAll="0"/>
    <pivotField showAll="0"/>
    <pivotField showAll="0"/>
    <pivotField numFmtId="10" showAll="0"/>
    <pivotField dataField="1" numFmtId="2" showAll="0"/>
    <pivotField numFmtId="10" showAll="0"/>
    <pivotField numFmtId="10" showAll="0"/>
    <pivotField numFmtId="167" showAll="0"/>
    <pivotField numFmtId="167" showAll="0"/>
    <pivotField numFmtId="167" showAll="0"/>
    <pivotField numFmtId="167" showAll="0"/>
    <pivotField numFmtId="169" showAll="0"/>
    <pivotField numFmtId="2" showAll="0"/>
    <pivotField showAll="0"/>
    <pivotField showAll="0"/>
  </pivotFields>
  <rowItems count="1">
    <i/>
  </rowItems>
  <colItems count="1">
    <i/>
  </colItems>
  <dataFields count="1">
    <dataField name="Sum of PROFIT FACTOR"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ED00774-D62C-449F-942A-4F170F6AE7F3}" name="PivotTable3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S2:AT25" firstHeaderRow="1" firstDataRow="1" firstDataCol="1"/>
  <pivotFields count="5">
    <pivotField showAll="0"/>
    <pivotField axis="axisRow" showAll="0">
      <items count="125">
        <item x="0"/>
        <item m="1" x="108"/>
        <item m="1" x="109"/>
        <item m="1" x="110"/>
        <item m="1" x="111"/>
        <item m="1" x="112"/>
        <item m="1" x="113"/>
        <item m="1" x="114"/>
        <item m="1" x="115"/>
        <item m="1" x="116"/>
        <item m="1" x="117"/>
        <item m="1" x="118"/>
        <item m="1" x="119"/>
        <item m="1" x="120"/>
        <item m="1" x="121"/>
        <item m="1" x="122"/>
        <item m="1" x="12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showAll="0"/>
    <pivotField dataField="1" showAll="0"/>
    <pivotField showAll="0">
      <items count="9">
        <item x="3"/>
        <item h="1" x="1"/>
        <item h="1" m="1" x="7"/>
        <item h="1" m="1" x="6"/>
        <item h="1" x="5"/>
        <item h="1" x="2"/>
        <item h="1" x="4"/>
        <item h="1" x="0"/>
        <item t="default"/>
      </items>
    </pivotField>
  </pivotFields>
  <rowFields count="1">
    <field x="1"/>
  </rowFields>
  <rowItems count="23">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Sum of DAILY PNL"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6A5F5A9-35A9-434D-98F7-9A40F11A4CA9}"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56:Z258" firstHeaderRow="1" firstDataRow="1" firstDataCol="1"/>
  <pivotFields count="22">
    <pivotField showAll="0"/>
    <pivotField showAll="0"/>
    <pivotField showAll="0"/>
    <pivotField showAll="0"/>
    <pivotField showAll="0"/>
    <pivotField showAll="0"/>
    <pivotField showAll="0"/>
    <pivotField showAll="0"/>
    <pivotField showAll="0">
      <items count="4">
        <item h="1" x="2"/>
        <item x="1"/>
        <item h="1" x="0"/>
        <item t="default"/>
      </items>
    </pivotField>
    <pivotField showAll="0"/>
    <pivotField showAll="0"/>
    <pivotField showAll="0"/>
    <pivotField axis="axisRow" showAll="0">
      <items count="4">
        <item h="1" x="2"/>
        <item x="1"/>
        <item h="1" x="0"/>
        <item t="default"/>
      </items>
    </pivotField>
    <pivotField showAll="0"/>
    <pivotField showAll="0"/>
    <pivotField dataField="1" showAll="0"/>
    <pivotField showAll="0"/>
    <pivotField showAll="0"/>
    <pivotField showAll="0"/>
    <pivotField showAll="0"/>
    <pivotField showAll="0"/>
    <pivotField showAll="0"/>
  </pivotFields>
  <rowFields count="1">
    <field x="12"/>
  </rowFields>
  <rowItems count="2">
    <i>
      <x v="1"/>
    </i>
    <i t="grand">
      <x/>
    </i>
  </rowItems>
  <colItems count="1">
    <i/>
  </colItems>
  <dataFields count="1">
    <dataField name="Average of RISK : REWARD" fld="15" subtotal="average" baseField="12"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F07BB3F9-FBA1-40E0-BE3C-39F0A6BE2736}"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93:N104" firstHeaderRow="1" firstDataRow="2" firstDataCol="1"/>
  <pivotFields count="22">
    <pivotField dataField="1" showAll="0"/>
    <pivotField showAll="0"/>
    <pivotField showAll="0"/>
    <pivotField axis="axisRow" showAll="0" sortType="ascending">
      <items count="14">
        <item m="1" x="12"/>
        <item x="8"/>
        <item m="1" x="11"/>
        <item x="4"/>
        <item x="1"/>
        <item x="0"/>
        <item x="2"/>
        <item x="3"/>
        <item x="5"/>
        <item x="6"/>
        <item x="7"/>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4">
        <item h="1" m="1" x="32"/>
        <item h="1" x="1"/>
        <item h="1" m="1" x="31"/>
        <item h="1" m="1" x="30"/>
        <item h="1" m="1" x="4"/>
        <item x="2"/>
        <item h="1" x="3"/>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5"/>
        <item h="1" m="1" x="6"/>
        <item h="1" x="0"/>
        <item t="default"/>
      </items>
    </pivotField>
    <pivotField showAll="0"/>
    <pivotField showAll="0"/>
    <pivotField axis="axisCol" showAll="0" sortType="descending">
      <items count="4">
        <item h="1" x="0"/>
        <item h="1" x="1"/>
        <item x="2"/>
        <item t="default"/>
      </items>
    </pivotField>
    <pivotField showAll="0"/>
    <pivotField showAll="0"/>
    <pivotField showAll="0"/>
    <pivotField showAll="0"/>
    <pivotField showAll="0"/>
    <pivotField showAll="0"/>
    <pivotField showAll="0"/>
    <pivotField showAll="0"/>
    <pivotField showAll="0"/>
  </pivotFields>
  <rowFields count="1">
    <field x="3"/>
  </rowFields>
  <rowItems count="10">
    <i>
      <x v="9"/>
    </i>
    <i>
      <x v="3"/>
    </i>
    <i>
      <x v="7"/>
    </i>
    <i>
      <x v="12"/>
    </i>
    <i>
      <x v="11"/>
    </i>
    <i>
      <x v="4"/>
    </i>
    <i>
      <x v="6"/>
    </i>
    <i>
      <x v="1"/>
    </i>
    <i>
      <x v="8"/>
    </i>
    <i t="grand">
      <x/>
    </i>
  </rowItems>
  <colFields count="1">
    <field x="12"/>
  </colFields>
  <colItems count="2">
    <i>
      <x v="2"/>
    </i>
    <i t="grand">
      <x/>
    </i>
  </colItems>
  <dataFields count="1">
    <dataField name="Count of NO" fld="0" subtotal="count" baseField="3" baseItem="4"/>
  </dataFields>
  <chartFormats count="2">
    <chartFormat chart="3" format="2" series="1">
      <pivotArea type="data" outline="0" fieldPosition="0">
        <references count="2">
          <reference field="4294967294" count="1" selected="0">
            <x v="0"/>
          </reference>
          <reference field="12" count="1" selected="0">
            <x v="2"/>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ATEGY_NAME" xr10:uid="{51570406-958B-410F-AC1C-D93A9268B775}" sourceName="STRATEGY NAME">
  <pivotTables>
    <pivotTable tabId="7" name="PivotTable7"/>
    <pivotTable tabId="7" name="PivotTable8"/>
    <pivotTable tabId="7" name="PivotTable9"/>
    <pivotTable tabId="7" name="PivotTable12"/>
    <pivotTable tabId="7" name="PivotTable17"/>
    <pivotTable tabId="7" name="PivotTable30"/>
    <pivotTable tabId="7" name="PivotTable36"/>
  </pivotTables>
  <data>
    <tabular pivotCacheId="1638743851">
      <items count="33">
        <i x="1"/>
        <i x="2" s="1"/>
        <i x="3"/>
        <i x="0"/>
        <i x="32" nd="1"/>
        <i x="31" nd="1"/>
        <i x="30" nd="1"/>
        <i x="4" nd="1"/>
        <i x="7" nd="1"/>
        <i x="8" nd="1"/>
        <i x="9" nd="1"/>
        <i x="10" nd="1"/>
        <i x="11" nd="1"/>
        <i x="12" nd="1"/>
        <i x="13" nd="1"/>
        <i x="14" nd="1"/>
        <i x="15" nd="1"/>
        <i x="16" nd="1"/>
        <i x="17" nd="1"/>
        <i x="18" nd="1"/>
        <i x="19" nd="1"/>
        <i x="20" nd="1"/>
        <i x="21" nd="1"/>
        <i x="22" nd="1"/>
        <i x="23" nd="1"/>
        <i x="24" nd="1"/>
        <i x="25" nd="1"/>
        <i x="26" nd="1"/>
        <i x="27" nd="1"/>
        <i x="28" nd="1"/>
        <i x="29" nd="1"/>
        <i x="5" nd="1"/>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NG___SHORT" xr10:uid="{42FCBE7C-587B-41A7-8511-811A94B75F33}" sourceName="LONG / SHORT">
  <pivotTables>
    <pivotTable tabId="7" name="PivotTable14"/>
    <pivotTable tabId="7" name="PivotTable15"/>
    <pivotTable tabId="7" name="PivotTable16"/>
    <pivotTable tabId="7" name="PivotTable13"/>
    <pivotTable tabId="7" name="PivotTable19"/>
    <pivotTable tabId="7" name="PivotTable29"/>
    <pivotTable tabId="7" name="PivotTable30"/>
    <pivotTable tabId="7" name="PivotTable18"/>
  </pivotTables>
  <data>
    <tabular pivotCacheId="1638743851">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C77D7C5C-47F1-4613-B942-C6CFA71E490B}" sourceName="DAY">
  <pivotTables>
    <pivotTable tabId="7" name="PivotTable26"/>
    <pivotTable tabId="7" name="PivotTable23"/>
    <pivotTable tabId="7" name="PivotTable21"/>
    <pivotTable tabId="7" name="PivotTable22"/>
    <pivotTable tabId="7" name="PivotTable27"/>
    <pivotTable tabId="7" name="PivotTable28"/>
    <pivotTable tabId="7" name="PivotTable37"/>
  </pivotTables>
  <data>
    <tabular pivotCacheId="1638743851">
      <items count="8">
        <i x="1"/>
        <i x="2" s="1"/>
        <i x="3"/>
        <i x="4"/>
        <i x="5"/>
        <i x="0"/>
        <i x="6" nd="1"/>
        <i x="7"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FFB303-C277-4534-9D87-D72AC7C6182D}" sourceName="MONTH">
  <pivotTables>
    <pivotTable tabId="7" name="PivotTable38"/>
  </pivotTables>
  <data>
    <tabular pivotCacheId="757169695">
      <items count="8">
        <i x="3" s="1"/>
        <i x="1"/>
        <i x="5"/>
        <i x="2"/>
        <i x="4"/>
        <i x="0"/>
        <i x="7" nd="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9267F111-E6C1-42B7-8F71-117F5497E649}" cache="Slicer_MONTH" caption="MONTH" columnCount="10"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NG / SHORT" xr10:uid="{A98A6D34-D827-4664-B456-07DB5CF80A7D}" cache="Slicer_LONG___SHORT" caption="LONG / SHORT" style="SlicerStyleDark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ATEGY NAME" xr10:uid="{8B91B2DD-04C7-4D96-B31C-F98D79E44616}" cache="Slicer_STRATEGY_NAME" caption="STRATEGY NAME" style="SlicerStyleDark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BDDC4A88-6854-4CB4-9CDB-A538CD0FA64F}" cache="Slicer_DAY1" caption="DAY"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821A-B3F9-49B3-A0F6-391971FB0251}">
  <dimension ref="A1:V72"/>
  <sheetViews>
    <sheetView showGridLines="0" showRowColHeaders="0" tabSelected="1" zoomScale="80" zoomScaleNormal="80" workbookViewId="0">
      <selection activeCell="J76" sqref="J76"/>
    </sheetView>
  </sheetViews>
  <sheetFormatPr defaultRowHeight="15" x14ac:dyDescent="0.25"/>
  <cols>
    <col min="1" max="1" width="9.140625" style="20"/>
    <col min="2" max="16384" width="9.140625" style="1"/>
  </cols>
  <sheetData>
    <row r="1" spans="1:13" x14ac:dyDescent="0.25">
      <c r="A1" s="2"/>
      <c r="B1" s="2"/>
      <c r="C1" s="2"/>
      <c r="D1" s="2"/>
      <c r="E1" s="2"/>
    </row>
    <row r="2" spans="1:13" x14ac:dyDescent="0.25">
      <c r="A2" s="2"/>
      <c r="B2" s="2"/>
      <c r="C2" s="2"/>
      <c r="D2" s="2"/>
      <c r="E2" s="2"/>
    </row>
    <row r="3" spans="1:13" x14ac:dyDescent="0.25">
      <c r="A3" s="2"/>
      <c r="B3" s="2"/>
      <c r="C3" s="2"/>
      <c r="D3" s="2"/>
      <c r="E3" s="2"/>
    </row>
    <row r="4" spans="1:13" x14ac:dyDescent="0.25">
      <c r="A4" s="2"/>
      <c r="B4" s="2"/>
      <c r="C4" s="2"/>
      <c r="D4" s="2"/>
      <c r="E4" s="2"/>
    </row>
    <row r="5" spans="1:13" x14ac:dyDescent="0.25">
      <c r="A5" s="2"/>
      <c r="B5" s="2"/>
      <c r="C5" s="2"/>
      <c r="D5" s="2"/>
      <c r="E5" s="2"/>
    </row>
    <row r="6" spans="1:13" x14ac:dyDescent="0.25">
      <c r="A6" s="2"/>
      <c r="B6" s="2"/>
      <c r="C6" s="2"/>
      <c r="D6" s="2"/>
      <c r="E6" s="2"/>
    </row>
    <row r="7" spans="1:13" x14ac:dyDescent="0.25">
      <c r="A7" s="2"/>
      <c r="B7" s="2"/>
      <c r="C7" s="2"/>
      <c r="D7" s="2"/>
      <c r="E7" s="2"/>
    </row>
    <row r="8" spans="1:13" x14ac:dyDescent="0.25">
      <c r="A8" s="2"/>
      <c r="B8" s="2"/>
      <c r="C8" s="2"/>
      <c r="D8" s="2"/>
      <c r="E8" s="2"/>
    </row>
    <row r="9" spans="1:13" x14ac:dyDescent="0.25">
      <c r="A9" s="2"/>
      <c r="B9" s="2"/>
      <c r="C9" s="2"/>
      <c r="D9" s="2"/>
      <c r="E9" s="2"/>
    </row>
    <row r="10" spans="1:13" x14ac:dyDescent="0.25">
      <c r="A10" s="2"/>
      <c r="B10" s="2"/>
      <c r="C10" s="2"/>
      <c r="D10" s="2"/>
      <c r="E10" s="2"/>
    </row>
    <row r="11" spans="1:13" x14ac:dyDescent="0.25">
      <c r="A11" s="2"/>
      <c r="B11" s="2"/>
      <c r="C11" s="2"/>
      <c r="D11" s="2"/>
      <c r="E11" s="2"/>
    </row>
    <row r="12" spans="1:13" x14ac:dyDescent="0.25">
      <c r="A12" s="2"/>
      <c r="B12" s="2"/>
      <c r="C12" s="2"/>
      <c r="D12" s="2"/>
      <c r="E12" s="2"/>
      <c r="M12" s="7"/>
    </row>
    <row r="13" spans="1:13" x14ac:dyDescent="0.25">
      <c r="A13" s="2"/>
      <c r="B13" s="2"/>
      <c r="C13" s="2"/>
      <c r="D13" s="2"/>
      <c r="E13" s="2"/>
      <c r="M13" s="7"/>
    </row>
    <row r="14" spans="1:13" x14ac:dyDescent="0.25">
      <c r="A14" s="2"/>
      <c r="B14" s="2"/>
      <c r="C14" s="2"/>
      <c r="D14" s="2"/>
      <c r="E14" s="2"/>
    </row>
    <row r="15" spans="1:13" x14ac:dyDescent="0.25">
      <c r="A15" s="2"/>
      <c r="B15" s="2"/>
      <c r="C15" s="2"/>
      <c r="D15" s="2"/>
      <c r="E15" s="2"/>
    </row>
    <row r="16" spans="1:13"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22" x14ac:dyDescent="0.25">
      <c r="A33" s="2"/>
      <c r="B33" s="2"/>
      <c r="C33" s="2"/>
      <c r="D33" s="2"/>
      <c r="E33" s="2"/>
      <c r="V33" s="3"/>
    </row>
    <row r="34" spans="1:22" x14ac:dyDescent="0.25">
      <c r="A34" s="2"/>
      <c r="B34" s="2"/>
      <c r="C34" s="2"/>
      <c r="D34" s="2"/>
      <c r="E34" s="2"/>
    </row>
    <row r="35" spans="1:22" x14ac:dyDescent="0.25">
      <c r="A35" s="2"/>
      <c r="B35" s="2"/>
      <c r="C35" s="2"/>
      <c r="D35" s="2"/>
      <c r="E35" s="2"/>
    </row>
    <row r="36" spans="1:22" x14ac:dyDescent="0.25">
      <c r="A36" s="2"/>
      <c r="B36" s="2"/>
      <c r="C36" s="2"/>
      <c r="D36" s="2"/>
      <c r="E36" s="2"/>
    </row>
    <row r="37" spans="1:22" x14ac:dyDescent="0.25">
      <c r="A37" s="2"/>
      <c r="B37" s="2"/>
      <c r="C37" s="2"/>
      <c r="D37" s="2"/>
      <c r="E37" s="2"/>
    </row>
    <row r="38" spans="1:22" x14ac:dyDescent="0.25">
      <c r="A38" s="2"/>
      <c r="B38" s="2"/>
      <c r="C38" s="2"/>
      <c r="D38" s="2"/>
      <c r="E38" s="2"/>
    </row>
    <row r="39" spans="1:22" x14ac:dyDescent="0.25">
      <c r="A39" s="2"/>
      <c r="B39" s="2"/>
      <c r="C39" s="2"/>
      <c r="D39" s="2"/>
      <c r="E39" s="2"/>
    </row>
    <row r="40" spans="1:22" x14ac:dyDescent="0.25">
      <c r="A40" s="2"/>
      <c r="B40" s="2"/>
      <c r="C40" s="2"/>
      <c r="D40" s="2"/>
      <c r="E40" s="2"/>
    </row>
    <row r="41" spans="1:22" x14ac:dyDescent="0.25">
      <c r="A41" s="2"/>
      <c r="B41" s="2"/>
      <c r="C41" s="2"/>
      <c r="D41" s="2"/>
      <c r="E41" s="2"/>
    </row>
    <row r="42" spans="1:22" x14ac:dyDescent="0.25">
      <c r="A42" s="2"/>
      <c r="B42" s="2"/>
      <c r="C42" s="2"/>
      <c r="D42" s="2"/>
      <c r="E42" s="2"/>
    </row>
    <row r="43" spans="1:22" x14ac:dyDescent="0.25">
      <c r="A43" s="2"/>
      <c r="B43" s="2"/>
      <c r="C43" s="2"/>
      <c r="D43" s="2"/>
      <c r="E43" s="2"/>
    </row>
    <row r="44" spans="1:22" x14ac:dyDescent="0.25">
      <c r="A44" s="2"/>
      <c r="B44" s="2"/>
      <c r="C44" s="2"/>
      <c r="D44" s="2"/>
      <c r="E44" s="2"/>
    </row>
    <row r="45" spans="1:22" x14ac:dyDescent="0.25">
      <c r="A45" s="2"/>
      <c r="B45" s="2"/>
      <c r="C45" s="2"/>
      <c r="D45" s="2"/>
      <c r="E45" s="2"/>
    </row>
    <row r="46" spans="1:22" x14ac:dyDescent="0.25">
      <c r="A46" s="2"/>
      <c r="B46" s="2"/>
      <c r="C46" s="2"/>
      <c r="D46" s="2"/>
      <c r="E46" s="2"/>
    </row>
    <row r="47" spans="1:22" x14ac:dyDescent="0.25">
      <c r="A47" s="2"/>
      <c r="B47" s="2"/>
      <c r="C47" s="2"/>
      <c r="D47" s="2"/>
      <c r="E47" s="2"/>
    </row>
    <row r="48" spans="1:22"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t="s">
        <v>63</v>
      </c>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sheetData>
  <sheetProtection algorithmName="SHA-512" hashValue="k62LUY9OIPtMRqC+WcgtLHL24Yohewm0kjMY+sNfZBp0jhS3UavH4+Az1p8JRPymxhkTt6QD9qR7iOlMqFMiWg==" saltValue="bY/fdtvFsJJ+Bkz6dtpDB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5EA62-9393-42DD-BC3C-1ED19A81F5E8}">
  <dimension ref="A1:E68"/>
  <sheetViews>
    <sheetView showGridLines="0" showRowColHeaders="0" zoomScale="80" zoomScaleNormal="80" workbookViewId="0">
      <selection activeCell="E18" sqref="E18"/>
    </sheetView>
  </sheetViews>
  <sheetFormatPr defaultRowHeight="15" x14ac:dyDescent="0.25"/>
  <cols>
    <col min="1" max="16384" width="9.140625" style="1"/>
  </cols>
  <sheetData>
    <row r="1" spans="1:5" x14ac:dyDescent="0.25">
      <c r="A1" s="2"/>
      <c r="B1" s="2"/>
      <c r="C1" s="2"/>
      <c r="D1" s="2"/>
      <c r="E1" s="2"/>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t="s">
        <v>63</v>
      </c>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sheetData>
  <sheetProtection algorithmName="SHA-512" hashValue="6XxoLK+b/s9OXQY1MDcJw7HgyxBzWNOrjvlu/sQhCVvBFrZUbEXtF9Jnqb1ynQtBA6Q8+MavNXkwLt43Wt/1MA==" saltValue="v4Cj1j1Lc+ZyOLktMsKcY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DBAA7-D271-4567-A9B9-6DD9EC99A2CA}">
  <dimension ref="A1:E68"/>
  <sheetViews>
    <sheetView showGridLines="0" showRowColHeaders="0" topLeftCell="A12" zoomScale="80" zoomScaleNormal="80" workbookViewId="0">
      <selection activeCell="V41" sqref="V41"/>
    </sheetView>
  </sheetViews>
  <sheetFormatPr defaultRowHeight="15" x14ac:dyDescent="0.25"/>
  <cols>
    <col min="1" max="16384" width="9.140625" style="1"/>
  </cols>
  <sheetData>
    <row r="1" spans="1:5" x14ac:dyDescent="0.25">
      <c r="A1" s="2"/>
      <c r="B1" s="2"/>
      <c r="C1" s="2"/>
      <c r="D1" s="2"/>
      <c r="E1" s="2"/>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t="s">
        <v>63</v>
      </c>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sheetData>
  <sheetProtection algorithmName="SHA-512" hashValue="G6ACGnQ2Hm33nBdWOnSR4wARcQNj+h9ady31+NLTw84dqHHcfx/kEc/WqnbgJJrj7C/D3wjye64D6czFncXnOw==" saltValue="8LAfSG0nk+Rff5SKulqBx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5554-F48A-49BC-AC08-1A0260C70AD1}">
  <dimension ref="A1:E68"/>
  <sheetViews>
    <sheetView showGridLines="0" showRowColHeaders="0" zoomScale="80" zoomScaleNormal="80" workbookViewId="0">
      <selection activeCell="V56" sqref="V56"/>
    </sheetView>
  </sheetViews>
  <sheetFormatPr defaultRowHeight="15" x14ac:dyDescent="0.25"/>
  <cols>
    <col min="1" max="16384" width="9.140625" style="1"/>
  </cols>
  <sheetData>
    <row r="1" spans="1:5" x14ac:dyDescent="0.25">
      <c r="A1" s="2"/>
      <c r="B1" s="2"/>
      <c r="C1" s="2"/>
      <c r="D1" s="2"/>
      <c r="E1" s="2"/>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t="s">
        <v>63</v>
      </c>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sheetData>
  <sheetProtection algorithmName="SHA-512" hashValue="v2NLrOIIMoBSIPiR0H5+n6PA4JjKlEwh4nEoWmNT/J7wzZuhgYBzNeRQcVvZCtxUcxRrMeKe3MVcQ3NvQwPHsg==" saltValue="Fi8sOBur5szYY6RnajHzL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C571-3ED7-482F-9967-1B506A921056}">
  <dimension ref="B1:BQ506"/>
  <sheetViews>
    <sheetView showGridLines="0" showRowColHeaders="0" topLeftCell="D2" zoomScale="80" zoomScaleNormal="80" workbookViewId="0">
      <selection activeCell="W13" sqref="W13"/>
    </sheetView>
  </sheetViews>
  <sheetFormatPr defaultColWidth="30.7109375" defaultRowHeight="15" x14ac:dyDescent="0.25"/>
  <cols>
    <col min="1" max="1" width="30.7109375" style="68"/>
    <col min="2" max="2" width="20.7109375" style="74" customWidth="1"/>
    <col min="3" max="3" width="30.7109375" style="75" customWidth="1"/>
    <col min="4" max="5" width="30.7109375" style="74" customWidth="1"/>
    <col min="6" max="7" width="30.7109375" style="98" customWidth="1"/>
    <col min="8" max="9" width="30.7109375" style="99" customWidth="1"/>
    <col min="10" max="11" width="30.7109375" style="74" customWidth="1"/>
    <col min="12" max="12" width="30.7109375" style="96" customWidth="1"/>
    <col min="13" max="16" width="30.7109375" style="74" customWidth="1"/>
    <col min="17" max="17" width="30.7109375" style="106" customWidth="1"/>
    <col min="18" max="18" width="42.140625" style="96" bestFit="1" customWidth="1"/>
    <col min="19" max="19" width="42.140625" style="96" customWidth="1"/>
    <col min="20" max="20" width="43.28515625" style="74" bestFit="1" customWidth="1"/>
    <col min="21" max="21" width="43.28515625" style="97" customWidth="1"/>
    <col min="22" max="23" width="60.7109375" style="74" customWidth="1"/>
    <col min="24" max="24" width="30.7109375" style="61"/>
    <col min="25" max="25" width="30.7109375" style="74"/>
    <col min="26" max="26" width="30.7109375" style="75"/>
    <col min="27" max="27" width="30.7109375" style="93"/>
    <col min="28" max="28" width="30.7109375" style="94"/>
    <col min="29" max="29" width="30.7109375" style="95"/>
    <col min="30" max="66" width="30.7109375" style="68"/>
    <col min="67" max="68" width="10.7109375" style="69" customWidth="1"/>
    <col min="69" max="69" width="10.7109375" style="70" customWidth="1"/>
    <col min="70" max="16384" width="30.7109375" style="68"/>
  </cols>
  <sheetData>
    <row r="1" spans="2:69" x14ac:dyDescent="0.25">
      <c r="B1" s="61"/>
      <c r="C1" s="62"/>
      <c r="D1" s="61"/>
      <c r="E1" s="61"/>
      <c r="F1" s="63"/>
      <c r="G1" s="63"/>
      <c r="H1" s="64"/>
      <c r="I1" s="64"/>
      <c r="J1" s="61"/>
      <c r="K1" s="61"/>
      <c r="L1" s="61"/>
      <c r="M1" s="61"/>
      <c r="N1" s="61"/>
      <c r="O1" s="61"/>
      <c r="P1" s="61"/>
      <c r="Q1" s="61"/>
      <c r="R1" s="65"/>
      <c r="S1" s="65"/>
      <c r="T1" s="65"/>
      <c r="U1" s="65"/>
      <c r="V1" s="61"/>
      <c r="W1" s="61"/>
      <c r="Y1" s="61"/>
      <c r="Z1" s="62"/>
      <c r="AA1" s="66"/>
      <c r="AB1" s="67"/>
      <c r="AC1" s="67"/>
    </row>
    <row r="2" spans="2:69" x14ac:dyDescent="0.25">
      <c r="B2" s="61"/>
      <c r="C2" s="62"/>
      <c r="D2" s="61"/>
      <c r="E2" s="61"/>
      <c r="F2" s="63"/>
      <c r="G2" s="63"/>
      <c r="H2" s="64"/>
      <c r="I2" s="64"/>
      <c r="J2" s="61"/>
      <c r="K2" s="61"/>
      <c r="L2" s="61"/>
      <c r="M2" s="61"/>
      <c r="N2" s="61"/>
      <c r="O2" s="61"/>
      <c r="P2" s="61"/>
      <c r="Q2" s="61"/>
      <c r="R2" s="65"/>
      <c r="S2" s="65"/>
      <c r="T2" s="65"/>
      <c r="U2" s="65"/>
      <c r="V2" s="61"/>
      <c r="W2" s="61"/>
      <c r="Y2" s="61"/>
      <c r="Z2" s="62"/>
      <c r="AA2" s="66"/>
      <c r="AB2" s="67"/>
      <c r="AC2" s="67"/>
    </row>
    <row r="3" spans="2:69" ht="150" customHeight="1" x14ac:dyDescent="0.25">
      <c r="B3" s="111" t="s">
        <v>0</v>
      </c>
      <c r="C3" s="111"/>
      <c r="D3" s="111"/>
      <c r="E3" s="111"/>
      <c r="F3" s="111"/>
      <c r="G3" s="111"/>
      <c r="H3" s="111"/>
      <c r="I3" s="111"/>
      <c r="J3" s="111"/>
      <c r="K3" s="111"/>
      <c r="L3" s="111"/>
      <c r="M3" s="111"/>
      <c r="N3" s="111"/>
      <c r="O3" s="111"/>
      <c r="P3" s="111"/>
      <c r="Q3" s="111"/>
      <c r="R3" s="111"/>
      <c r="S3" s="111"/>
      <c r="T3" s="111"/>
      <c r="U3" s="111"/>
      <c r="V3" s="111"/>
      <c r="W3" s="111"/>
      <c r="Y3" s="61"/>
      <c r="Z3" s="62"/>
      <c r="AA3" s="66"/>
      <c r="AB3" s="67"/>
      <c r="AC3" s="67"/>
    </row>
    <row r="4" spans="2:69" x14ac:dyDescent="0.25">
      <c r="B4" s="23"/>
      <c r="C4" s="24"/>
      <c r="D4" s="23"/>
      <c r="E4" s="23"/>
      <c r="F4" s="25"/>
      <c r="G4" s="25"/>
      <c r="H4" s="26"/>
      <c r="I4" s="26"/>
      <c r="J4" s="23"/>
      <c r="K4" s="23"/>
      <c r="L4" s="23"/>
      <c r="M4" s="23"/>
      <c r="N4" s="23"/>
      <c r="O4" s="23"/>
      <c r="P4" s="23"/>
      <c r="Q4" s="23"/>
      <c r="R4" s="27"/>
      <c r="S4" s="27"/>
      <c r="T4" s="27"/>
      <c r="U4" s="27"/>
      <c r="V4" s="23"/>
      <c r="W4" s="23"/>
      <c r="Y4" s="61"/>
      <c r="Z4" s="62"/>
      <c r="AA4" s="66"/>
      <c r="AB4" s="67"/>
      <c r="AC4" s="67"/>
    </row>
    <row r="5" spans="2:69" x14ac:dyDescent="0.25">
      <c r="B5" s="29"/>
      <c r="C5" s="28"/>
      <c r="D5" s="28"/>
      <c r="E5" s="28"/>
      <c r="F5" s="28"/>
      <c r="G5" s="28"/>
      <c r="H5" s="28"/>
      <c r="I5" s="30"/>
      <c r="J5" s="28"/>
      <c r="K5" s="28"/>
      <c r="L5" s="28"/>
      <c r="M5" s="28"/>
      <c r="N5" s="28"/>
      <c r="O5" s="28"/>
      <c r="P5" s="23"/>
      <c r="Q5" s="28"/>
      <c r="R5" s="31"/>
      <c r="S5" s="31"/>
      <c r="T5" s="31"/>
      <c r="U5" s="31"/>
      <c r="V5" s="28"/>
      <c r="W5" s="28"/>
      <c r="X5" s="68"/>
      <c r="Y5" s="68"/>
      <c r="Z5" s="68"/>
      <c r="AA5" s="68"/>
      <c r="AB5" s="68"/>
      <c r="AC5" s="68"/>
      <c r="BO5" s="70"/>
      <c r="BP5" s="70"/>
    </row>
    <row r="6" spans="2:69" ht="80.099999999999994" customHeight="1" x14ac:dyDescent="0.25">
      <c r="B6" s="32"/>
      <c r="C6" s="33" t="s">
        <v>1</v>
      </c>
      <c r="D6" s="34" t="s">
        <v>2</v>
      </c>
      <c r="E6" s="34" t="s">
        <v>3</v>
      </c>
      <c r="F6" s="34" t="s">
        <v>4</v>
      </c>
      <c r="G6" s="34" t="s">
        <v>5</v>
      </c>
      <c r="H6" s="34" t="s">
        <v>6</v>
      </c>
      <c r="I6" s="34" t="s">
        <v>7</v>
      </c>
      <c r="J6" s="34" t="s">
        <v>8</v>
      </c>
      <c r="K6" s="34" t="s">
        <v>9</v>
      </c>
      <c r="L6" s="35" t="s">
        <v>10</v>
      </c>
      <c r="M6" s="34" t="s">
        <v>45</v>
      </c>
      <c r="N6" s="34" t="s">
        <v>11</v>
      </c>
      <c r="O6" s="34" t="s">
        <v>12</v>
      </c>
      <c r="P6" s="34" t="s">
        <v>13</v>
      </c>
      <c r="Q6" s="34" t="s">
        <v>14</v>
      </c>
      <c r="R6" s="34" t="s">
        <v>11</v>
      </c>
      <c r="S6" s="34" t="s">
        <v>15</v>
      </c>
      <c r="T6" s="34" t="s">
        <v>62</v>
      </c>
      <c r="U6" s="34" t="s">
        <v>117</v>
      </c>
      <c r="V6" s="34" t="s">
        <v>16</v>
      </c>
      <c r="W6" s="34" t="s">
        <v>17</v>
      </c>
      <c r="X6" s="68"/>
      <c r="Y6" s="68"/>
      <c r="Z6" s="68"/>
      <c r="AA6" s="68"/>
      <c r="AB6" s="68"/>
      <c r="AC6" s="68"/>
      <c r="BO6" s="70"/>
      <c r="BP6" s="70"/>
    </row>
    <row r="7" spans="2:69" ht="80.099999999999994" customHeight="1" x14ac:dyDescent="0.25">
      <c r="B7" s="36"/>
      <c r="C7" s="37">
        <f>VALUE(R12)</f>
        <v>9000</v>
      </c>
      <c r="D7" s="36">
        <f>IF(C7 &gt; G7,C7+(G7),C7 +G7)</f>
        <v>11605</v>
      </c>
      <c r="E7" s="38">
        <f>SUMIF($N13:$N504,"W",$P13:$P504)</f>
        <v>11430</v>
      </c>
      <c r="F7" s="38">
        <f>SUMIF($N$13:$N$504,"L",$P$13:$P$504)</f>
        <v>8825</v>
      </c>
      <c r="G7" s="38">
        <f>E7+(-F7)</f>
        <v>2605</v>
      </c>
      <c r="H7" s="39">
        <f>(G7/C7)*1</f>
        <v>0.28944444444444445</v>
      </c>
      <c r="I7" s="40">
        <f>COUNT(B13:B504)</f>
        <v>120</v>
      </c>
      <c r="J7" s="40">
        <f>COUNTIF($N13:$N504,"w")</f>
        <v>66</v>
      </c>
      <c r="K7" s="40">
        <f>COUNTIF($N13:$N504,"L")</f>
        <v>54</v>
      </c>
      <c r="L7" s="39">
        <f>(J7/I7)*1</f>
        <v>0.55000000000000004</v>
      </c>
      <c r="M7" s="41">
        <f>SUMIF(N13:N504,"W",P13:P504)/(SUMIF(N13:N504,"L",P13:P504))</f>
        <v>1.2951841359773371</v>
      </c>
      <c r="N7" s="39">
        <f>AVERAGEIF($N$13:$N$1048576,"W",$P$13:$P$1048576)/$C7*1</f>
        <v>1.9242424242424241E-2</v>
      </c>
      <c r="O7" s="39">
        <f>AVERAGEIF($N$13:$N$1048576,"L",$P$13:$P$1048576)/C7 *1</f>
        <v>1.8158436213991769E-2</v>
      </c>
      <c r="P7" s="38">
        <f>_xlfn.MAXIFS($P$13:$P$1048576, $N$13:$N$1048576, "W")</f>
        <v>520</v>
      </c>
      <c r="Q7" s="38">
        <f>_xlfn.MAXIFS($P$13:$P$1048576, $N$13:$N$1048576, "L")</f>
        <v>220</v>
      </c>
      <c r="R7" s="38">
        <f>E7/J7</f>
        <v>173.18181818181819</v>
      </c>
      <c r="S7" s="38">
        <f>F7/K7</f>
        <v>163.42592592592592</v>
      </c>
      <c r="T7" s="42">
        <f>AVERAGEIF($N$13:$N$1048576,"W",$BH$13:$BH$1048576)</f>
        <v>1.3994107744107722E-2</v>
      </c>
      <c r="U7" s="41">
        <f>AVERAGE(U13:U1048576)</f>
        <v>3.45</v>
      </c>
      <c r="V7" s="40">
        <f>MAX($BI13:$BI504)</f>
        <v>7</v>
      </c>
      <c r="W7" s="40">
        <f>MAX($BJ13:$BJ504)</f>
        <v>4</v>
      </c>
      <c r="X7" s="68"/>
      <c r="Y7" s="68"/>
      <c r="Z7" s="68"/>
      <c r="AA7" s="68"/>
      <c r="AB7" s="68"/>
      <c r="AC7" s="68"/>
      <c r="BO7" s="70"/>
      <c r="BP7" s="70"/>
    </row>
    <row r="8" spans="2:69" x14ac:dyDescent="0.25">
      <c r="B8" s="29"/>
      <c r="C8" s="28"/>
      <c r="D8" s="28"/>
      <c r="E8" s="28"/>
      <c r="F8" s="28"/>
      <c r="G8" s="28"/>
      <c r="H8" s="28"/>
      <c r="I8" s="30"/>
      <c r="J8" s="28"/>
      <c r="K8" s="28"/>
      <c r="L8" s="28"/>
      <c r="M8" s="28"/>
      <c r="N8" s="28"/>
      <c r="O8" s="28"/>
      <c r="P8" s="23"/>
      <c r="Q8" s="28"/>
      <c r="R8" s="31"/>
      <c r="S8" s="31"/>
      <c r="T8" s="31"/>
      <c r="U8" s="31"/>
      <c r="V8" s="28"/>
      <c r="W8" s="28"/>
      <c r="X8" s="68"/>
      <c r="Y8" s="68"/>
      <c r="Z8" s="68"/>
      <c r="AA8" s="68"/>
      <c r="AB8" s="68"/>
      <c r="AC8" s="68"/>
      <c r="BO8" s="70"/>
      <c r="BP8" s="70"/>
    </row>
    <row r="9" spans="2:69" s="61" customFormat="1" ht="35.1" customHeight="1" x14ac:dyDescent="0.4">
      <c r="B9" s="112" t="s">
        <v>18</v>
      </c>
      <c r="C9" s="112"/>
      <c r="D9" s="112"/>
      <c r="E9" s="112"/>
      <c r="F9" s="112"/>
      <c r="G9" s="112"/>
      <c r="H9" s="112"/>
      <c r="I9" s="112"/>
      <c r="J9" s="112" t="s">
        <v>19</v>
      </c>
      <c r="K9" s="112"/>
      <c r="L9" s="112"/>
      <c r="M9" s="112"/>
      <c r="N9" s="112"/>
      <c r="O9" s="112"/>
      <c r="P9" s="112"/>
      <c r="Q9" s="112"/>
      <c r="R9" s="113" t="s">
        <v>20</v>
      </c>
      <c r="S9" s="113"/>
      <c r="T9" s="113"/>
      <c r="U9" s="113"/>
      <c r="V9" s="113"/>
      <c r="W9" s="113"/>
      <c r="Y9" s="107" t="s">
        <v>70</v>
      </c>
      <c r="Z9" s="108"/>
      <c r="AA9" s="108"/>
      <c r="AB9" s="108"/>
      <c r="AC9" s="10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c r="BO9" s="70"/>
      <c r="BP9" s="70"/>
      <c r="BQ9" s="70"/>
    </row>
    <row r="10" spans="2:69" ht="30" customHeight="1" x14ac:dyDescent="0.25">
      <c r="B10" s="43" t="s">
        <v>21</v>
      </c>
      <c r="C10" s="43" t="s">
        <v>22</v>
      </c>
      <c r="D10" s="43" t="s">
        <v>23</v>
      </c>
      <c r="E10" s="43" t="s">
        <v>24</v>
      </c>
      <c r="F10" s="43" t="s">
        <v>25</v>
      </c>
      <c r="G10" s="43" t="s">
        <v>26</v>
      </c>
      <c r="H10" s="44" t="s">
        <v>27</v>
      </c>
      <c r="I10" s="44" t="s">
        <v>28</v>
      </c>
      <c r="J10" s="43" t="s">
        <v>29</v>
      </c>
      <c r="K10" s="43" t="s">
        <v>30</v>
      </c>
      <c r="L10" s="43" t="s">
        <v>31</v>
      </c>
      <c r="M10" s="43" t="s">
        <v>32</v>
      </c>
      <c r="N10" s="43" t="s">
        <v>33</v>
      </c>
      <c r="O10" s="43" t="s">
        <v>34</v>
      </c>
      <c r="P10" s="43" t="s">
        <v>35</v>
      </c>
      <c r="Q10" s="43" t="s">
        <v>36</v>
      </c>
      <c r="R10" s="45" t="s">
        <v>1</v>
      </c>
      <c r="S10" s="45" t="s">
        <v>61</v>
      </c>
      <c r="T10" s="43" t="s">
        <v>37</v>
      </c>
      <c r="U10" s="43" t="s">
        <v>109</v>
      </c>
      <c r="V10" s="43" t="s">
        <v>38</v>
      </c>
      <c r="W10" s="43" t="s">
        <v>46</v>
      </c>
      <c r="X10" s="68"/>
      <c r="Y10" s="46" t="s">
        <v>21</v>
      </c>
      <c r="Z10" s="46" t="s">
        <v>22</v>
      </c>
      <c r="AA10" s="46" t="s">
        <v>35</v>
      </c>
      <c r="AB10" s="47" t="s">
        <v>39</v>
      </c>
      <c r="AC10" s="46" t="s">
        <v>119</v>
      </c>
      <c r="BO10" s="70"/>
      <c r="BP10" s="70"/>
    </row>
    <row r="11" spans="2:69" ht="18.75" x14ac:dyDescent="0.25">
      <c r="B11" s="48"/>
      <c r="C11" s="49"/>
      <c r="D11" s="48"/>
      <c r="E11" s="50"/>
      <c r="F11" s="50"/>
      <c r="G11" s="50"/>
      <c r="H11" s="109" t="s">
        <v>40</v>
      </c>
      <c r="I11" s="110"/>
      <c r="J11" s="48"/>
      <c r="K11" s="48"/>
      <c r="L11" s="51" t="s">
        <v>41</v>
      </c>
      <c r="M11" s="51"/>
      <c r="N11" s="51"/>
      <c r="O11" s="48"/>
      <c r="P11" s="49"/>
      <c r="Q11" s="52" t="s">
        <v>47</v>
      </c>
      <c r="R11" s="53">
        <v>9000</v>
      </c>
      <c r="S11" s="53"/>
      <c r="T11" s="48"/>
      <c r="U11" s="48"/>
      <c r="V11" s="48"/>
      <c r="W11" s="48"/>
      <c r="X11" s="68"/>
      <c r="Y11" s="48"/>
      <c r="Z11" s="48"/>
      <c r="AA11" s="48"/>
      <c r="AB11" s="54">
        <f>R11</f>
        <v>9000</v>
      </c>
      <c r="AC11" s="55"/>
      <c r="BG11" s="71"/>
      <c r="BH11" s="71" t="s">
        <v>118</v>
      </c>
      <c r="BI11" s="71" t="s">
        <v>43</v>
      </c>
      <c r="BJ11" s="71" t="s">
        <v>51</v>
      </c>
      <c r="BK11" s="72" t="s">
        <v>42</v>
      </c>
    </row>
    <row r="12" spans="2:69" x14ac:dyDescent="0.25">
      <c r="B12" s="56"/>
      <c r="C12" s="56"/>
      <c r="D12" s="56"/>
      <c r="E12" s="56"/>
      <c r="F12" s="56"/>
      <c r="G12" s="56"/>
      <c r="H12" s="56"/>
      <c r="I12" s="57"/>
      <c r="J12" s="56"/>
      <c r="K12" s="56"/>
      <c r="L12" s="56"/>
      <c r="M12" s="56"/>
      <c r="N12" s="58" t="s">
        <v>43</v>
      </c>
      <c r="O12" s="56"/>
      <c r="P12" s="56">
        <v>0</v>
      </c>
      <c r="Q12" s="105" t="e">
        <f>IF(N12="W", P12/L12, -ABS(P12/L12))</f>
        <v>#DIV/0!</v>
      </c>
      <c r="R12" s="73">
        <f>IF(N12="L",R11+P12,IF(N12 ="w",R11+P12))</f>
        <v>9000</v>
      </c>
      <c r="S12" s="59"/>
      <c r="T12" s="59"/>
      <c r="U12" s="59"/>
      <c r="V12" s="56"/>
      <c r="W12" s="56"/>
      <c r="Y12" s="74">
        <v>1</v>
      </c>
      <c r="Z12" s="80">
        <v>45325</v>
      </c>
      <c r="AA12" s="74">
        <f>SUMIFS($P$13:$P$1048576, $C$13:$C$1048576, Z12, $N$13:$N$1048576, "W") - SUMIFS($P$13:$P$1048576, $C$13:$C$1048576, Z12, $N$13:$N$1048576, "L")</f>
        <v>-160</v>
      </c>
      <c r="AB12" s="76">
        <f>AB11+AA12</f>
        <v>8840</v>
      </c>
      <c r="AC12" s="77" t="str">
        <f>TEXT(Z12,"mmm yyyy")</f>
        <v>Feb 2024</v>
      </c>
      <c r="BK12" s="72" t="s">
        <v>44</v>
      </c>
      <c r="BQ12" s="78"/>
    </row>
    <row r="13" spans="2:69" x14ac:dyDescent="0.25">
      <c r="B13" s="79">
        <v>1</v>
      </c>
      <c r="C13" s="80">
        <v>45325</v>
      </c>
      <c r="D13" s="81" t="s">
        <v>48</v>
      </c>
      <c r="E13" s="79" t="s">
        <v>49</v>
      </c>
      <c r="F13" s="82">
        <v>689.15</v>
      </c>
      <c r="G13" s="82">
        <v>691.9</v>
      </c>
      <c r="H13" s="83">
        <v>0.43402777777777773</v>
      </c>
      <c r="I13" s="83">
        <v>0.44444444444444442</v>
      </c>
      <c r="J13" s="79" t="s">
        <v>50</v>
      </c>
      <c r="K13" s="79" t="s">
        <v>128</v>
      </c>
      <c r="L13" s="73">
        <v>110</v>
      </c>
      <c r="M13" s="79">
        <v>40</v>
      </c>
      <c r="N13" s="79" t="s">
        <v>51</v>
      </c>
      <c r="O13" s="79" t="s">
        <v>52</v>
      </c>
      <c r="P13" s="79">
        <v>160</v>
      </c>
      <c r="Q13" s="105">
        <f t="shared" ref="Q13:Q76" si="0">IF(N13="W", P13/L13, -ABS(P13/L13))</f>
        <v>-1.4545454545454546</v>
      </c>
      <c r="R13" s="73">
        <f t="shared" ref="R13:R76" si="1">IF(N13="L",R12+P13,IF(N13 ="w",R12+P13))</f>
        <v>9160</v>
      </c>
      <c r="S13" s="73"/>
      <c r="T13" s="84"/>
      <c r="U13" s="85"/>
      <c r="V13" s="79"/>
      <c r="W13" s="79"/>
      <c r="Y13" s="74">
        <v>2</v>
      </c>
      <c r="Z13" s="80">
        <v>45326</v>
      </c>
      <c r="AA13" s="74">
        <f t="shared" ref="AA13:AA76" si="2">SUMIFS($P$13:$P$1048576, $C$13:$C$1048576, Z13, $N$13:$N$1048576, "W") - SUMIFS($P$13:$P$1048576, $C$13:$C$1048576, Z13, $N$13:$N$1048576, "L")</f>
        <v>200</v>
      </c>
      <c r="AB13" s="60">
        <f t="shared" ref="AB13:AB76" si="3">AB12+AA13</f>
        <v>9040</v>
      </c>
      <c r="AC13" s="77" t="str">
        <f t="shared" ref="AC13:AC76" si="4">TEXT(Z13,"mmM yyyy")</f>
        <v>Feb 2024</v>
      </c>
      <c r="BG13" s="86"/>
      <c r="BH13" s="87">
        <f>$I13-$H13</f>
        <v>1.0416666666666685E-2</v>
      </c>
      <c r="BI13" s="88">
        <f>IF($N13="W", IF(ROW()=1, 1, BI11+1), 0)</f>
        <v>0</v>
      </c>
      <c r="BJ13" s="88">
        <f>IF($N13="l", IF(ROW()=1, 1, BJ12+1), 0)</f>
        <v>1</v>
      </c>
      <c r="BQ13" s="69"/>
    </row>
    <row r="14" spans="2:69" x14ac:dyDescent="0.25">
      <c r="B14" s="79">
        <v>2</v>
      </c>
      <c r="C14" s="80">
        <v>45326</v>
      </c>
      <c r="D14" s="79" t="s">
        <v>54</v>
      </c>
      <c r="E14" s="79" t="s">
        <v>129</v>
      </c>
      <c r="F14" s="82">
        <v>2300.4499999999998</v>
      </c>
      <c r="G14" s="82">
        <v>2312.75</v>
      </c>
      <c r="H14" s="83">
        <v>0.46527777777777773</v>
      </c>
      <c r="I14" s="83">
        <v>0.47916666666666669</v>
      </c>
      <c r="J14" s="79" t="s">
        <v>130</v>
      </c>
      <c r="K14" s="79" t="s">
        <v>128</v>
      </c>
      <c r="L14" s="73">
        <v>150</v>
      </c>
      <c r="M14" s="79">
        <v>30</v>
      </c>
      <c r="N14" s="79" t="s">
        <v>43</v>
      </c>
      <c r="O14" s="79" t="s">
        <v>58</v>
      </c>
      <c r="P14" s="79">
        <v>200</v>
      </c>
      <c r="Q14" s="105">
        <f t="shared" si="0"/>
        <v>1.3333333333333333</v>
      </c>
      <c r="R14" s="73">
        <f t="shared" si="1"/>
        <v>9360</v>
      </c>
      <c r="S14" s="73"/>
      <c r="T14" s="84"/>
      <c r="U14" s="85">
        <v>2</v>
      </c>
      <c r="V14" s="79"/>
      <c r="W14" s="79"/>
      <c r="Y14" s="74">
        <v>3</v>
      </c>
      <c r="Z14" s="80">
        <v>45327</v>
      </c>
      <c r="AA14" s="74">
        <f t="shared" si="2"/>
        <v>180</v>
      </c>
      <c r="AB14" s="76">
        <f t="shared" si="3"/>
        <v>9220</v>
      </c>
      <c r="AC14" s="77" t="str">
        <f t="shared" si="4"/>
        <v>Feb 2024</v>
      </c>
      <c r="BG14" s="86"/>
      <c r="BH14" s="87">
        <f t="shared" ref="BH14:BH77" si="5">$I14-$H14</f>
        <v>1.3888888888888951E-2</v>
      </c>
      <c r="BI14" s="88">
        <f t="shared" ref="BI14:BI77" si="6">IF($N14="W", IF(ROW()=1, 1, BI13+1), 0)</f>
        <v>1</v>
      </c>
      <c r="BJ14" s="88">
        <f t="shared" ref="BJ14:BJ77" si="7">IF($N14="l", IF(ROW()=1, 1, BJ13+1), 0)</f>
        <v>0</v>
      </c>
      <c r="BQ14" s="69"/>
    </row>
    <row r="15" spans="2:69" x14ac:dyDescent="0.25">
      <c r="B15" s="79">
        <v>3</v>
      </c>
      <c r="C15" s="80">
        <v>45327</v>
      </c>
      <c r="D15" s="79" t="s">
        <v>55</v>
      </c>
      <c r="E15" s="79" t="s">
        <v>131</v>
      </c>
      <c r="F15" s="82">
        <v>1605.25</v>
      </c>
      <c r="G15" s="82">
        <v>1610.75</v>
      </c>
      <c r="H15" s="83">
        <v>0.40625</v>
      </c>
      <c r="I15" s="83">
        <v>0.41666666666666669</v>
      </c>
      <c r="J15" s="79" t="s">
        <v>50</v>
      </c>
      <c r="K15" s="79" t="s">
        <v>132</v>
      </c>
      <c r="L15" s="73">
        <v>120</v>
      </c>
      <c r="M15" s="79">
        <v>50</v>
      </c>
      <c r="N15" s="79" t="s">
        <v>43</v>
      </c>
      <c r="O15" s="79" t="s">
        <v>58</v>
      </c>
      <c r="P15" s="79">
        <v>180</v>
      </c>
      <c r="Q15" s="105">
        <f t="shared" si="0"/>
        <v>1.5</v>
      </c>
      <c r="R15" s="73">
        <f t="shared" si="1"/>
        <v>9540</v>
      </c>
      <c r="S15" s="73"/>
      <c r="T15" s="84"/>
      <c r="U15" s="85">
        <v>3</v>
      </c>
      <c r="V15" s="79"/>
      <c r="W15" s="79"/>
      <c r="Y15" s="74">
        <v>4</v>
      </c>
      <c r="Z15" s="80">
        <v>45328</v>
      </c>
      <c r="AA15" s="74">
        <f t="shared" si="2"/>
        <v>-170</v>
      </c>
      <c r="AB15" s="76">
        <f t="shared" si="3"/>
        <v>9050</v>
      </c>
      <c r="AC15" s="77" t="str">
        <f t="shared" si="4"/>
        <v>Feb 2024</v>
      </c>
      <c r="BG15" s="86"/>
      <c r="BH15" s="87">
        <f t="shared" si="5"/>
        <v>1.0416666666666685E-2</v>
      </c>
      <c r="BI15" s="88">
        <f t="shared" si="6"/>
        <v>2</v>
      </c>
      <c r="BJ15" s="88">
        <f t="shared" si="7"/>
        <v>0</v>
      </c>
      <c r="BQ15" s="69"/>
    </row>
    <row r="16" spans="2:69" x14ac:dyDescent="0.25">
      <c r="B16" s="79">
        <v>4</v>
      </c>
      <c r="C16" s="80">
        <v>45328</v>
      </c>
      <c r="D16" s="79" t="s">
        <v>57</v>
      </c>
      <c r="E16" s="79" t="s">
        <v>133</v>
      </c>
      <c r="F16" s="82">
        <v>1512.3</v>
      </c>
      <c r="G16" s="82">
        <v>1518.2</v>
      </c>
      <c r="H16" s="83">
        <v>0.4201388888888889</v>
      </c>
      <c r="I16" s="83">
        <v>0.43055555555555558</v>
      </c>
      <c r="J16" s="79" t="s">
        <v>130</v>
      </c>
      <c r="K16" s="79" t="s">
        <v>132</v>
      </c>
      <c r="L16" s="73">
        <v>135</v>
      </c>
      <c r="M16" s="79">
        <v>40</v>
      </c>
      <c r="N16" s="79" t="s">
        <v>51</v>
      </c>
      <c r="O16" s="79" t="s">
        <v>52</v>
      </c>
      <c r="P16" s="79">
        <v>170</v>
      </c>
      <c r="Q16" s="105">
        <f t="shared" si="0"/>
        <v>-1.2592592592592593</v>
      </c>
      <c r="R16" s="73">
        <f t="shared" si="1"/>
        <v>9710</v>
      </c>
      <c r="S16" s="73"/>
      <c r="T16" s="84"/>
      <c r="U16" s="85"/>
      <c r="V16" s="79"/>
      <c r="W16" s="79"/>
      <c r="Y16" s="74">
        <v>5</v>
      </c>
      <c r="Z16" s="80">
        <v>45329</v>
      </c>
      <c r="AA16" s="74">
        <f t="shared" si="2"/>
        <v>290</v>
      </c>
      <c r="AB16" s="76">
        <f t="shared" si="3"/>
        <v>9340</v>
      </c>
      <c r="AC16" s="77" t="str">
        <f t="shared" si="4"/>
        <v>Feb 2024</v>
      </c>
      <c r="BG16" s="86"/>
      <c r="BH16" s="87">
        <f t="shared" si="5"/>
        <v>1.0416666666666685E-2</v>
      </c>
      <c r="BI16" s="88">
        <f t="shared" si="6"/>
        <v>0</v>
      </c>
      <c r="BJ16" s="88">
        <f t="shared" si="7"/>
        <v>1</v>
      </c>
      <c r="BQ16" s="69"/>
    </row>
    <row r="17" spans="2:69" x14ac:dyDescent="0.25">
      <c r="B17" s="79">
        <v>5</v>
      </c>
      <c r="C17" s="80">
        <v>45329</v>
      </c>
      <c r="D17" s="79" t="s">
        <v>59</v>
      </c>
      <c r="E17" s="79" t="s">
        <v>134</v>
      </c>
      <c r="F17" s="82">
        <v>3360.5</v>
      </c>
      <c r="G17" s="82">
        <v>3375.8</v>
      </c>
      <c r="H17" s="83">
        <v>0.41666666666666669</v>
      </c>
      <c r="I17" s="83">
        <v>0.42708333333333331</v>
      </c>
      <c r="J17" s="79" t="s">
        <v>50</v>
      </c>
      <c r="K17" s="79" t="s">
        <v>135</v>
      </c>
      <c r="L17" s="73">
        <v>130</v>
      </c>
      <c r="M17" s="79">
        <v>35</v>
      </c>
      <c r="N17" s="79" t="s">
        <v>51</v>
      </c>
      <c r="O17" s="79" t="s">
        <v>52</v>
      </c>
      <c r="P17" s="79">
        <v>160</v>
      </c>
      <c r="Q17" s="105">
        <f t="shared" si="0"/>
        <v>-1.2307692307692308</v>
      </c>
      <c r="R17" s="73">
        <f t="shared" si="1"/>
        <v>9870</v>
      </c>
      <c r="S17" s="73"/>
      <c r="T17" s="84"/>
      <c r="U17" s="85"/>
      <c r="V17" s="79"/>
      <c r="W17" s="79"/>
      <c r="Y17" s="74">
        <v>6</v>
      </c>
      <c r="Z17" s="80">
        <v>45332</v>
      </c>
      <c r="AA17" s="74">
        <f t="shared" si="2"/>
        <v>25</v>
      </c>
      <c r="AB17" s="76">
        <f t="shared" si="3"/>
        <v>9365</v>
      </c>
      <c r="AC17" s="77" t="str">
        <f t="shared" si="4"/>
        <v>Feb 2024</v>
      </c>
      <c r="BG17" s="86"/>
      <c r="BH17" s="87">
        <f t="shared" si="5"/>
        <v>1.041666666666663E-2</v>
      </c>
      <c r="BI17" s="88">
        <f t="shared" si="6"/>
        <v>0</v>
      </c>
      <c r="BJ17" s="88">
        <f t="shared" si="7"/>
        <v>2</v>
      </c>
      <c r="BQ17" s="69"/>
    </row>
    <row r="18" spans="2:69" x14ac:dyDescent="0.25">
      <c r="B18" s="79">
        <v>6</v>
      </c>
      <c r="C18" s="80">
        <v>45329</v>
      </c>
      <c r="D18" s="79" t="s">
        <v>59</v>
      </c>
      <c r="E18" s="79" t="s">
        <v>136</v>
      </c>
      <c r="F18" s="82">
        <v>595</v>
      </c>
      <c r="G18" s="82">
        <v>600.5</v>
      </c>
      <c r="H18" s="83">
        <v>0.45833333333333331</v>
      </c>
      <c r="I18" s="83">
        <v>0.47222222222222227</v>
      </c>
      <c r="J18" s="79" t="s">
        <v>130</v>
      </c>
      <c r="K18" s="79" t="s">
        <v>135</v>
      </c>
      <c r="L18" s="73">
        <v>125</v>
      </c>
      <c r="M18" s="79">
        <v>45</v>
      </c>
      <c r="N18" s="79" t="s">
        <v>43</v>
      </c>
      <c r="O18" s="79" t="s">
        <v>60</v>
      </c>
      <c r="P18" s="79">
        <v>450</v>
      </c>
      <c r="Q18" s="105">
        <f t="shared" si="0"/>
        <v>3.6</v>
      </c>
      <c r="R18" s="73">
        <f t="shared" si="1"/>
        <v>10320</v>
      </c>
      <c r="S18" s="73"/>
      <c r="T18" s="84"/>
      <c r="U18" s="85">
        <v>5</v>
      </c>
      <c r="V18" s="79"/>
      <c r="W18" s="79"/>
      <c r="Y18" s="74">
        <v>7</v>
      </c>
      <c r="Z18" s="80">
        <v>45333</v>
      </c>
      <c r="AA18" s="74">
        <f t="shared" si="2"/>
        <v>180</v>
      </c>
      <c r="AB18" s="76">
        <f t="shared" si="3"/>
        <v>9545</v>
      </c>
      <c r="AC18" s="77" t="str">
        <f t="shared" si="4"/>
        <v>Feb 2024</v>
      </c>
      <c r="BG18" s="86"/>
      <c r="BH18" s="87">
        <f t="shared" si="5"/>
        <v>1.3888888888888951E-2</v>
      </c>
      <c r="BI18" s="88">
        <f t="shared" si="6"/>
        <v>1</v>
      </c>
      <c r="BJ18" s="88">
        <f t="shared" si="7"/>
        <v>0</v>
      </c>
      <c r="BQ18" s="69"/>
    </row>
    <row r="19" spans="2:69" x14ac:dyDescent="0.25">
      <c r="B19" s="79">
        <v>7</v>
      </c>
      <c r="C19" s="80">
        <v>45332</v>
      </c>
      <c r="D19" s="79" t="s">
        <v>48</v>
      </c>
      <c r="E19" s="79" t="s">
        <v>137</v>
      </c>
      <c r="F19" s="82">
        <v>9800</v>
      </c>
      <c r="G19" s="82">
        <v>9825.75</v>
      </c>
      <c r="H19" s="83">
        <v>0.42708333333333331</v>
      </c>
      <c r="I19" s="83">
        <v>0.44444444444444442</v>
      </c>
      <c r="J19" s="79" t="s">
        <v>50</v>
      </c>
      <c r="K19" s="79" t="s">
        <v>128</v>
      </c>
      <c r="L19" s="73">
        <v>140</v>
      </c>
      <c r="M19" s="79">
        <v>20</v>
      </c>
      <c r="N19" s="79" t="s">
        <v>43</v>
      </c>
      <c r="O19" s="79" t="s">
        <v>58</v>
      </c>
      <c r="P19" s="79">
        <v>200</v>
      </c>
      <c r="Q19" s="105">
        <f t="shared" si="0"/>
        <v>1.4285714285714286</v>
      </c>
      <c r="R19" s="73">
        <f t="shared" si="1"/>
        <v>10520</v>
      </c>
      <c r="S19" s="73"/>
      <c r="T19" s="84"/>
      <c r="U19" s="85">
        <v>3.5</v>
      </c>
      <c r="V19" s="79"/>
      <c r="W19" s="79"/>
      <c r="Y19" s="74">
        <v>8</v>
      </c>
      <c r="Z19" s="80">
        <v>45334</v>
      </c>
      <c r="AA19" s="74">
        <f t="shared" si="2"/>
        <v>160</v>
      </c>
      <c r="AB19" s="76">
        <f t="shared" si="3"/>
        <v>9705</v>
      </c>
      <c r="AC19" s="77" t="str">
        <f t="shared" si="4"/>
        <v>Feb 2024</v>
      </c>
      <c r="BG19" s="86"/>
      <c r="BH19" s="87">
        <f t="shared" si="5"/>
        <v>1.7361111111111105E-2</v>
      </c>
      <c r="BI19" s="88">
        <f t="shared" si="6"/>
        <v>2</v>
      </c>
      <c r="BJ19" s="88">
        <f t="shared" si="7"/>
        <v>0</v>
      </c>
      <c r="BQ19" s="69"/>
    </row>
    <row r="20" spans="2:69" x14ac:dyDescent="0.25">
      <c r="B20" s="79">
        <v>8</v>
      </c>
      <c r="C20" s="80">
        <v>45332</v>
      </c>
      <c r="D20" s="79" t="s">
        <v>48</v>
      </c>
      <c r="E20" s="79" t="s">
        <v>131</v>
      </c>
      <c r="F20" s="82">
        <v>1600.25</v>
      </c>
      <c r="G20" s="82">
        <v>1615.75</v>
      </c>
      <c r="H20" s="83">
        <v>0.4201388888888889</v>
      </c>
      <c r="I20" s="83">
        <v>0.43402777777777773</v>
      </c>
      <c r="J20" s="79" t="s">
        <v>130</v>
      </c>
      <c r="K20" s="79" t="s">
        <v>132</v>
      </c>
      <c r="L20" s="73">
        <v>115</v>
      </c>
      <c r="M20" s="79">
        <v>50</v>
      </c>
      <c r="N20" s="79" t="s">
        <v>51</v>
      </c>
      <c r="O20" s="79" t="s">
        <v>52</v>
      </c>
      <c r="P20" s="79">
        <v>175</v>
      </c>
      <c r="Q20" s="105">
        <f t="shared" si="0"/>
        <v>-1.5217391304347827</v>
      </c>
      <c r="R20" s="73">
        <f t="shared" si="1"/>
        <v>10695</v>
      </c>
      <c r="S20" s="73"/>
      <c r="T20" s="84"/>
      <c r="U20" s="85"/>
      <c r="V20" s="79"/>
      <c r="W20" s="79"/>
      <c r="Y20" s="74">
        <v>9</v>
      </c>
      <c r="Z20" s="80">
        <v>45335</v>
      </c>
      <c r="AA20" s="74">
        <f t="shared" si="2"/>
        <v>-170</v>
      </c>
      <c r="AB20" s="76">
        <f t="shared" si="3"/>
        <v>9535</v>
      </c>
      <c r="AC20" s="77" t="str">
        <f t="shared" si="4"/>
        <v>Feb 2024</v>
      </c>
      <c r="BG20" s="86"/>
      <c r="BH20" s="87">
        <f t="shared" si="5"/>
        <v>1.388888888888884E-2</v>
      </c>
      <c r="BI20" s="88">
        <f t="shared" si="6"/>
        <v>0</v>
      </c>
      <c r="BJ20" s="88">
        <f t="shared" si="7"/>
        <v>1</v>
      </c>
      <c r="BQ20" s="69"/>
    </row>
    <row r="21" spans="2:69" x14ac:dyDescent="0.25">
      <c r="B21" s="79">
        <v>9</v>
      </c>
      <c r="C21" s="80">
        <v>45333</v>
      </c>
      <c r="D21" s="79" t="s">
        <v>54</v>
      </c>
      <c r="E21" s="79" t="s">
        <v>133</v>
      </c>
      <c r="F21" s="82">
        <v>1510.4</v>
      </c>
      <c r="G21" s="82">
        <v>1516.1</v>
      </c>
      <c r="H21" s="83">
        <v>0.46527777777777773</v>
      </c>
      <c r="I21" s="83">
        <v>0.47916666666666669</v>
      </c>
      <c r="J21" s="79" t="s">
        <v>50</v>
      </c>
      <c r="K21" s="79" t="s">
        <v>135</v>
      </c>
      <c r="L21" s="73">
        <v>130</v>
      </c>
      <c r="M21" s="79">
        <v>40</v>
      </c>
      <c r="N21" s="79" t="s">
        <v>43</v>
      </c>
      <c r="O21" s="79" t="s">
        <v>58</v>
      </c>
      <c r="P21" s="79">
        <v>180</v>
      </c>
      <c r="Q21" s="105">
        <f t="shared" si="0"/>
        <v>1.3846153846153846</v>
      </c>
      <c r="R21" s="73">
        <f t="shared" si="1"/>
        <v>10875</v>
      </c>
      <c r="S21" s="73"/>
      <c r="T21" s="84"/>
      <c r="U21" s="85"/>
      <c r="V21" s="79"/>
      <c r="W21" s="79"/>
      <c r="Y21" s="74">
        <v>10</v>
      </c>
      <c r="Z21" s="80">
        <v>45336</v>
      </c>
      <c r="AA21" s="74">
        <f t="shared" si="2"/>
        <v>-10</v>
      </c>
      <c r="AB21" s="76">
        <f t="shared" si="3"/>
        <v>9525</v>
      </c>
      <c r="AC21" s="77" t="str">
        <f t="shared" si="4"/>
        <v>Feb 2024</v>
      </c>
      <c r="BG21" s="86"/>
      <c r="BH21" s="87">
        <f t="shared" si="5"/>
        <v>1.3888888888888951E-2</v>
      </c>
      <c r="BI21" s="88">
        <f t="shared" si="6"/>
        <v>1</v>
      </c>
      <c r="BJ21" s="88">
        <f t="shared" si="7"/>
        <v>0</v>
      </c>
      <c r="BQ21" s="69"/>
    </row>
    <row r="22" spans="2:69" x14ac:dyDescent="0.25">
      <c r="B22" s="79">
        <v>10</v>
      </c>
      <c r="C22" s="80">
        <v>45334</v>
      </c>
      <c r="D22" s="79" t="s">
        <v>55</v>
      </c>
      <c r="E22" s="79" t="s">
        <v>49</v>
      </c>
      <c r="F22" s="82">
        <v>690.25</v>
      </c>
      <c r="G22" s="82">
        <v>695.5</v>
      </c>
      <c r="H22" s="83">
        <v>0.40972222222222227</v>
      </c>
      <c r="I22" s="83">
        <v>0.4201388888888889</v>
      </c>
      <c r="J22" s="79" t="s">
        <v>130</v>
      </c>
      <c r="K22" s="79" t="s">
        <v>128</v>
      </c>
      <c r="L22" s="73">
        <v>125</v>
      </c>
      <c r="M22" s="79">
        <v>30</v>
      </c>
      <c r="N22" s="79" t="s">
        <v>43</v>
      </c>
      <c r="O22" s="79" t="s">
        <v>58</v>
      </c>
      <c r="P22" s="79">
        <v>160</v>
      </c>
      <c r="Q22" s="105">
        <f t="shared" si="0"/>
        <v>1.28</v>
      </c>
      <c r="R22" s="73">
        <f t="shared" si="1"/>
        <v>11035</v>
      </c>
      <c r="S22" s="73"/>
      <c r="T22" s="89"/>
      <c r="U22" s="90"/>
      <c r="V22" s="79"/>
      <c r="Y22" s="74">
        <v>11</v>
      </c>
      <c r="Z22" s="80">
        <v>45339</v>
      </c>
      <c r="AA22" s="74">
        <f t="shared" si="2"/>
        <v>-30</v>
      </c>
      <c r="AB22" s="76">
        <f t="shared" si="3"/>
        <v>9495</v>
      </c>
      <c r="AC22" s="77" t="str">
        <f t="shared" si="4"/>
        <v>Feb 2024</v>
      </c>
      <c r="BG22" s="86"/>
      <c r="BH22" s="87">
        <f t="shared" si="5"/>
        <v>1.041666666666663E-2</v>
      </c>
      <c r="BI22" s="88">
        <f t="shared" si="6"/>
        <v>2</v>
      </c>
      <c r="BJ22" s="88">
        <f t="shared" si="7"/>
        <v>0</v>
      </c>
      <c r="BQ22" s="69"/>
    </row>
    <row r="23" spans="2:69" x14ac:dyDescent="0.25">
      <c r="B23" s="79">
        <v>11</v>
      </c>
      <c r="C23" s="80">
        <v>45335</v>
      </c>
      <c r="D23" s="79" t="s">
        <v>57</v>
      </c>
      <c r="E23" s="79" t="s">
        <v>129</v>
      </c>
      <c r="F23" s="82">
        <v>2290</v>
      </c>
      <c r="G23" s="82">
        <v>2305</v>
      </c>
      <c r="H23" s="83">
        <v>0.42708333333333331</v>
      </c>
      <c r="I23" s="83">
        <v>0.4375</v>
      </c>
      <c r="J23" s="79" t="s">
        <v>50</v>
      </c>
      <c r="K23" s="79" t="s">
        <v>132</v>
      </c>
      <c r="L23" s="73">
        <v>135</v>
      </c>
      <c r="M23" s="79">
        <v>35</v>
      </c>
      <c r="N23" s="79" t="s">
        <v>51</v>
      </c>
      <c r="O23" s="79" t="s">
        <v>52</v>
      </c>
      <c r="P23" s="79">
        <v>170</v>
      </c>
      <c r="Q23" s="105">
        <f t="shared" si="0"/>
        <v>-1.2592592592592593</v>
      </c>
      <c r="R23" s="73">
        <f t="shared" si="1"/>
        <v>11205</v>
      </c>
      <c r="S23" s="73"/>
      <c r="T23" s="89"/>
      <c r="U23" s="90"/>
      <c r="V23" s="79"/>
      <c r="Y23" s="74">
        <v>12</v>
      </c>
      <c r="Z23" s="80">
        <v>45340</v>
      </c>
      <c r="AA23" s="74">
        <f t="shared" si="2"/>
        <v>160</v>
      </c>
      <c r="AB23" s="76">
        <f t="shared" si="3"/>
        <v>9655</v>
      </c>
      <c r="AC23" s="77" t="str">
        <f t="shared" si="4"/>
        <v>Feb 2024</v>
      </c>
      <c r="BG23" s="86"/>
      <c r="BH23" s="87">
        <f t="shared" si="5"/>
        <v>1.0416666666666685E-2</v>
      </c>
      <c r="BI23" s="88">
        <f t="shared" si="6"/>
        <v>0</v>
      </c>
      <c r="BJ23" s="88">
        <f t="shared" si="7"/>
        <v>1</v>
      </c>
      <c r="BQ23" s="69"/>
    </row>
    <row r="24" spans="2:69" ht="15" customHeight="1" x14ac:dyDescent="0.25">
      <c r="B24" s="79">
        <v>12</v>
      </c>
      <c r="C24" s="80">
        <v>45336</v>
      </c>
      <c r="D24" s="79" t="s">
        <v>59</v>
      </c>
      <c r="E24" s="79" t="s">
        <v>131</v>
      </c>
      <c r="F24" s="82">
        <v>1610.8</v>
      </c>
      <c r="G24" s="82">
        <v>1618</v>
      </c>
      <c r="H24" s="83">
        <v>0.46180555555555558</v>
      </c>
      <c r="I24" s="83">
        <v>0.47222222222222227</v>
      </c>
      <c r="J24" s="79" t="s">
        <v>130</v>
      </c>
      <c r="K24" s="79" t="s">
        <v>135</v>
      </c>
      <c r="L24" s="73">
        <v>145</v>
      </c>
      <c r="M24" s="79">
        <v>30</v>
      </c>
      <c r="N24" s="79" t="s">
        <v>51</v>
      </c>
      <c r="O24" s="79" t="s">
        <v>52</v>
      </c>
      <c r="P24" s="79">
        <v>160</v>
      </c>
      <c r="Q24" s="105">
        <f t="shared" si="0"/>
        <v>-1.103448275862069</v>
      </c>
      <c r="R24" s="73">
        <f t="shared" si="1"/>
        <v>11365</v>
      </c>
      <c r="S24" s="73"/>
      <c r="T24" s="89"/>
      <c r="U24" s="90"/>
      <c r="V24" s="79"/>
      <c r="Y24" s="74">
        <v>13</v>
      </c>
      <c r="Z24" s="80">
        <v>45341</v>
      </c>
      <c r="AA24" s="74">
        <f t="shared" si="2"/>
        <v>-170</v>
      </c>
      <c r="AB24" s="76">
        <f t="shared" si="3"/>
        <v>9485</v>
      </c>
      <c r="AC24" s="77" t="str">
        <f t="shared" si="4"/>
        <v>Feb 2024</v>
      </c>
      <c r="BG24" s="86"/>
      <c r="BH24" s="87">
        <f t="shared" si="5"/>
        <v>1.0416666666666685E-2</v>
      </c>
      <c r="BI24" s="88">
        <f t="shared" si="6"/>
        <v>0</v>
      </c>
      <c r="BJ24" s="88">
        <f t="shared" si="7"/>
        <v>2</v>
      </c>
      <c r="BQ24" s="69"/>
    </row>
    <row r="25" spans="2:69" x14ac:dyDescent="0.25">
      <c r="B25" s="79">
        <v>13</v>
      </c>
      <c r="C25" s="80">
        <v>45336</v>
      </c>
      <c r="D25" s="79" t="s">
        <v>59</v>
      </c>
      <c r="E25" s="79" t="s">
        <v>137</v>
      </c>
      <c r="F25" s="82">
        <v>9805</v>
      </c>
      <c r="G25" s="82">
        <v>9812.5</v>
      </c>
      <c r="H25" s="83">
        <v>0.40277777777777773</v>
      </c>
      <c r="I25" s="83">
        <v>0.41666666666666669</v>
      </c>
      <c r="J25" s="79" t="s">
        <v>50</v>
      </c>
      <c r="K25" s="79" t="s">
        <v>128</v>
      </c>
      <c r="L25" s="73">
        <v>120</v>
      </c>
      <c r="M25" s="79">
        <v>25</v>
      </c>
      <c r="N25" s="79" t="s">
        <v>43</v>
      </c>
      <c r="O25" s="79" t="s">
        <v>58</v>
      </c>
      <c r="P25" s="79">
        <v>150</v>
      </c>
      <c r="Q25" s="105">
        <f t="shared" si="0"/>
        <v>1.25</v>
      </c>
      <c r="R25" s="73">
        <f t="shared" si="1"/>
        <v>11515</v>
      </c>
      <c r="S25" s="73"/>
      <c r="T25" s="89"/>
      <c r="U25" s="90"/>
      <c r="V25" s="79"/>
      <c r="Y25" s="74">
        <v>14</v>
      </c>
      <c r="Z25" s="80">
        <v>45342</v>
      </c>
      <c r="AA25" s="74">
        <f t="shared" si="2"/>
        <v>-220</v>
      </c>
      <c r="AB25" s="76">
        <f t="shared" si="3"/>
        <v>9265</v>
      </c>
      <c r="AC25" s="77" t="str">
        <f t="shared" si="4"/>
        <v>Feb 2024</v>
      </c>
      <c r="BG25" s="86"/>
      <c r="BH25" s="87">
        <f t="shared" si="5"/>
        <v>1.3888888888888951E-2</v>
      </c>
      <c r="BI25" s="88">
        <f t="shared" si="6"/>
        <v>1</v>
      </c>
      <c r="BJ25" s="88">
        <f t="shared" si="7"/>
        <v>0</v>
      </c>
      <c r="BQ25" s="69"/>
    </row>
    <row r="26" spans="2:69" x14ac:dyDescent="0.25">
      <c r="B26" s="79">
        <v>14</v>
      </c>
      <c r="C26" s="80">
        <v>45339</v>
      </c>
      <c r="D26" s="79" t="s">
        <v>48</v>
      </c>
      <c r="E26" s="79" t="s">
        <v>134</v>
      </c>
      <c r="F26" s="82">
        <v>3375</v>
      </c>
      <c r="G26" s="82">
        <v>3385.5</v>
      </c>
      <c r="H26" s="83">
        <v>0.41666666666666669</v>
      </c>
      <c r="I26" s="83">
        <v>0.42708333333333331</v>
      </c>
      <c r="J26" s="79" t="s">
        <v>130</v>
      </c>
      <c r="K26" s="79" t="s">
        <v>132</v>
      </c>
      <c r="L26" s="73">
        <v>125</v>
      </c>
      <c r="M26" s="79">
        <v>40</v>
      </c>
      <c r="N26" s="79" t="s">
        <v>51</v>
      </c>
      <c r="O26" s="79" t="s">
        <v>52</v>
      </c>
      <c r="P26" s="79">
        <v>180</v>
      </c>
      <c r="Q26" s="105">
        <f t="shared" si="0"/>
        <v>-1.44</v>
      </c>
      <c r="R26" s="73">
        <f t="shared" si="1"/>
        <v>11695</v>
      </c>
      <c r="S26" s="73"/>
      <c r="T26" s="89"/>
      <c r="U26" s="90"/>
      <c r="V26" s="79"/>
      <c r="Y26" s="74">
        <v>15</v>
      </c>
      <c r="Z26" s="80">
        <v>45343</v>
      </c>
      <c r="AA26" s="74">
        <f t="shared" si="2"/>
        <v>340</v>
      </c>
      <c r="AB26" s="76">
        <f t="shared" si="3"/>
        <v>9605</v>
      </c>
      <c r="AC26" s="77" t="str">
        <f t="shared" si="4"/>
        <v>Feb 2024</v>
      </c>
      <c r="BG26" s="86"/>
      <c r="BH26" s="87">
        <f t="shared" si="5"/>
        <v>1.041666666666663E-2</v>
      </c>
      <c r="BI26" s="88">
        <f t="shared" si="6"/>
        <v>0</v>
      </c>
      <c r="BJ26" s="88">
        <f t="shared" si="7"/>
        <v>1</v>
      </c>
      <c r="BQ26" s="69"/>
    </row>
    <row r="27" spans="2:69" x14ac:dyDescent="0.25">
      <c r="B27" s="79">
        <v>15</v>
      </c>
      <c r="C27" s="80">
        <v>45339</v>
      </c>
      <c r="D27" s="79" t="s">
        <v>48</v>
      </c>
      <c r="E27" s="79" t="s">
        <v>136</v>
      </c>
      <c r="F27" s="82">
        <v>600.5</v>
      </c>
      <c r="G27" s="82">
        <v>603</v>
      </c>
      <c r="H27" s="83">
        <v>0.41319444444444442</v>
      </c>
      <c r="I27" s="83">
        <v>0.43055555555555558</v>
      </c>
      <c r="J27" s="79" t="s">
        <v>50</v>
      </c>
      <c r="K27" s="79" t="s">
        <v>135</v>
      </c>
      <c r="L27" s="73">
        <v>130</v>
      </c>
      <c r="M27" s="79">
        <v>30</v>
      </c>
      <c r="N27" s="79" t="s">
        <v>43</v>
      </c>
      <c r="O27" s="79" t="s">
        <v>58</v>
      </c>
      <c r="P27" s="79">
        <v>150</v>
      </c>
      <c r="Q27" s="105">
        <f t="shared" si="0"/>
        <v>1.1538461538461537</v>
      </c>
      <c r="R27" s="73">
        <f t="shared" si="1"/>
        <v>11845</v>
      </c>
      <c r="S27" s="73"/>
      <c r="T27" s="89"/>
      <c r="U27" s="90">
        <v>2</v>
      </c>
      <c r="V27" s="79"/>
      <c r="Y27" s="74">
        <v>16</v>
      </c>
      <c r="Z27" s="80">
        <v>45346</v>
      </c>
      <c r="AA27" s="74">
        <f t="shared" si="2"/>
        <v>330</v>
      </c>
      <c r="AB27" s="76">
        <f t="shared" si="3"/>
        <v>9935</v>
      </c>
      <c r="AC27" s="77" t="str">
        <f t="shared" si="4"/>
        <v>Feb 2024</v>
      </c>
      <c r="BG27" s="86"/>
      <c r="BH27" s="87">
        <f t="shared" si="5"/>
        <v>1.736111111111116E-2</v>
      </c>
      <c r="BI27" s="88">
        <f t="shared" si="6"/>
        <v>1</v>
      </c>
      <c r="BJ27" s="88">
        <f t="shared" si="7"/>
        <v>0</v>
      </c>
      <c r="BQ27" s="69"/>
    </row>
    <row r="28" spans="2:69" x14ac:dyDescent="0.25">
      <c r="B28" s="79">
        <v>16</v>
      </c>
      <c r="C28" s="80">
        <v>45340</v>
      </c>
      <c r="D28" s="79" t="s">
        <v>54</v>
      </c>
      <c r="E28" s="79" t="s">
        <v>133</v>
      </c>
      <c r="F28" s="82">
        <v>1520.5</v>
      </c>
      <c r="G28" s="82">
        <v>1530</v>
      </c>
      <c r="H28" s="83">
        <v>0.4236111111111111</v>
      </c>
      <c r="I28" s="83">
        <v>0.43402777777777773</v>
      </c>
      <c r="J28" s="79" t="s">
        <v>130</v>
      </c>
      <c r="K28" s="79" t="s">
        <v>128</v>
      </c>
      <c r="L28" s="73">
        <v>140</v>
      </c>
      <c r="M28" s="79">
        <v>40</v>
      </c>
      <c r="N28" s="79" t="s">
        <v>43</v>
      </c>
      <c r="O28" s="79" t="s">
        <v>58</v>
      </c>
      <c r="P28" s="79">
        <v>160</v>
      </c>
      <c r="Q28" s="105">
        <f t="shared" si="0"/>
        <v>1.1428571428571428</v>
      </c>
      <c r="R28" s="73">
        <f t="shared" si="1"/>
        <v>12005</v>
      </c>
      <c r="S28" s="73"/>
      <c r="T28" s="89"/>
      <c r="U28" s="90">
        <v>3</v>
      </c>
      <c r="V28" s="79"/>
      <c r="Y28" s="74">
        <v>17</v>
      </c>
      <c r="Z28" s="80">
        <v>45347</v>
      </c>
      <c r="AA28" s="74">
        <f t="shared" si="2"/>
        <v>-180</v>
      </c>
      <c r="AB28" s="76">
        <f t="shared" si="3"/>
        <v>9755</v>
      </c>
      <c r="AC28" s="77" t="str">
        <f t="shared" si="4"/>
        <v>Feb 2024</v>
      </c>
      <c r="BG28" s="86"/>
      <c r="BH28" s="87">
        <f t="shared" si="5"/>
        <v>1.041666666666663E-2</v>
      </c>
      <c r="BI28" s="88">
        <f t="shared" si="6"/>
        <v>2</v>
      </c>
      <c r="BJ28" s="88">
        <f t="shared" si="7"/>
        <v>0</v>
      </c>
      <c r="BQ28" s="69"/>
    </row>
    <row r="29" spans="2:69" x14ac:dyDescent="0.25">
      <c r="B29" s="79">
        <v>17</v>
      </c>
      <c r="C29" s="80">
        <v>45341</v>
      </c>
      <c r="D29" s="79" t="s">
        <v>55</v>
      </c>
      <c r="E29" s="79" t="s">
        <v>129</v>
      </c>
      <c r="F29" s="82">
        <v>2295.8000000000002</v>
      </c>
      <c r="G29" s="82">
        <v>2310</v>
      </c>
      <c r="H29" s="83">
        <v>0.4375</v>
      </c>
      <c r="I29" s="83">
        <v>0.44791666666666669</v>
      </c>
      <c r="J29" s="79" t="s">
        <v>50</v>
      </c>
      <c r="K29" s="79" t="s">
        <v>132</v>
      </c>
      <c r="L29" s="73">
        <v>125</v>
      </c>
      <c r="M29" s="79">
        <v>35</v>
      </c>
      <c r="N29" s="79" t="s">
        <v>51</v>
      </c>
      <c r="O29" s="79" t="s">
        <v>52</v>
      </c>
      <c r="P29" s="79">
        <v>170</v>
      </c>
      <c r="Q29" s="105">
        <f t="shared" si="0"/>
        <v>-1.36</v>
      </c>
      <c r="R29" s="73">
        <f t="shared" si="1"/>
        <v>12175</v>
      </c>
      <c r="S29" s="73"/>
      <c r="T29" s="89"/>
      <c r="U29" s="90"/>
      <c r="V29" s="79"/>
      <c r="W29" s="79"/>
      <c r="Y29" s="74">
        <v>18</v>
      </c>
      <c r="Z29" s="80">
        <v>45348</v>
      </c>
      <c r="AA29" s="74">
        <f t="shared" si="2"/>
        <v>-200</v>
      </c>
      <c r="AB29" s="76">
        <f t="shared" si="3"/>
        <v>9555</v>
      </c>
      <c r="AC29" s="77" t="str">
        <f t="shared" si="4"/>
        <v>Feb 2024</v>
      </c>
      <c r="BG29" s="86"/>
      <c r="BH29" s="87">
        <f t="shared" si="5"/>
        <v>1.0416666666666685E-2</v>
      </c>
      <c r="BI29" s="88">
        <f t="shared" si="6"/>
        <v>0</v>
      </c>
      <c r="BJ29" s="88">
        <f t="shared" si="7"/>
        <v>1</v>
      </c>
      <c r="BQ29" s="69"/>
    </row>
    <row r="30" spans="2:69" x14ac:dyDescent="0.25">
      <c r="B30" s="79">
        <v>18</v>
      </c>
      <c r="C30" s="80">
        <v>45342</v>
      </c>
      <c r="D30" s="79" t="s">
        <v>57</v>
      </c>
      <c r="E30" s="79" t="s">
        <v>49</v>
      </c>
      <c r="F30" s="82">
        <v>690</v>
      </c>
      <c r="G30" s="82">
        <v>695.5</v>
      </c>
      <c r="H30" s="83">
        <v>0.40277777777777773</v>
      </c>
      <c r="I30" s="83">
        <v>0.41666666666666669</v>
      </c>
      <c r="J30" s="79" t="s">
        <v>130</v>
      </c>
      <c r="K30" s="79" t="s">
        <v>135</v>
      </c>
      <c r="L30" s="73">
        <v>110</v>
      </c>
      <c r="M30" s="79">
        <v>40</v>
      </c>
      <c r="N30" s="79" t="s">
        <v>51</v>
      </c>
      <c r="O30" s="79" t="s">
        <v>138</v>
      </c>
      <c r="P30" s="79">
        <v>220</v>
      </c>
      <c r="Q30" s="105">
        <f t="shared" si="0"/>
        <v>-2</v>
      </c>
      <c r="R30" s="73">
        <f t="shared" si="1"/>
        <v>12395</v>
      </c>
      <c r="S30" s="73"/>
      <c r="T30" s="89"/>
      <c r="U30" s="90"/>
      <c r="V30" s="79"/>
      <c r="Y30" s="74">
        <v>19</v>
      </c>
      <c r="Z30" s="80">
        <v>45349</v>
      </c>
      <c r="AA30" s="74">
        <f t="shared" si="2"/>
        <v>-50</v>
      </c>
      <c r="AB30" s="76">
        <f t="shared" si="3"/>
        <v>9505</v>
      </c>
      <c r="AC30" s="77" t="str">
        <f t="shared" si="4"/>
        <v>Feb 2024</v>
      </c>
      <c r="BG30" s="86"/>
      <c r="BH30" s="87">
        <f t="shared" si="5"/>
        <v>1.3888888888888951E-2</v>
      </c>
      <c r="BI30" s="88">
        <f t="shared" si="6"/>
        <v>0</v>
      </c>
      <c r="BJ30" s="88">
        <f t="shared" si="7"/>
        <v>2</v>
      </c>
      <c r="BQ30" s="69"/>
    </row>
    <row r="31" spans="2:69" x14ac:dyDescent="0.25">
      <c r="B31" s="79">
        <v>19</v>
      </c>
      <c r="C31" s="80">
        <v>45343</v>
      </c>
      <c r="D31" s="79" t="s">
        <v>59</v>
      </c>
      <c r="E31" s="79" t="s">
        <v>131</v>
      </c>
      <c r="F31" s="82">
        <v>1605</v>
      </c>
      <c r="G31" s="82">
        <v>1610.5</v>
      </c>
      <c r="H31" s="83">
        <v>0.4236111111111111</v>
      </c>
      <c r="I31" s="83">
        <v>0.4375</v>
      </c>
      <c r="J31" s="79" t="s">
        <v>50</v>
      </c>
      <c r="K31" s="79" t="s">
        <v>128</v>
      </c>
      <c r="L31" s="73">
        <v>130</v>
      </c>
      <c r="M31" s="79">
        <v>50</v>
      </c>
      <c r="N31" s="79" t="s">
        <v>43</v>
      </c>
      <c r="O31" s="79" t="s">
        <v>58</v>
      </c>
      <c r="P31" s="79">
        <v>180</v>
      </c>
      <c r="Q31" s="105">
        <f t="shared" si="0"/>
        <v>1.3846153846153846</v>
      </c>
      <c r="R31" s="73">
        <f t="shared" si="1"/>
        <v>12575</v>
      </c>
      <c r="S31" s="73"/>
      <c r="T31" s="89"/>
      <c r="U31" s="90"/>
      <c r="V31" s="79"/>
      <c r="Y31" s="74">
        <v>20</v>
      </c>
      <c r="Z31" s="80">
        <v>45350</v>
      </c>
      <c r="AA31" s="74">
        <f t="shared" si="2"/>
        <v>10</v>
      </c>
      <c r="AB31" s="76">
        <f t="shared" si="3"/>
        <v>9515</v>
      </c>
      <c r="AC31" s="77" t="str">
        <f t="shared" si="4"/>
        <v>Feb 2024</v>
      </c>
      <c r="BG31" s="86"/>
      <c r="BH31" s="87">
        <f t="shared" si="5"/>
        <v>1.3888888888888895E-2</v>
      </c>
      <c r="BI31" s="88">
        <f t="shared" si="6"/>
        <v>1</v>
      </c>
      <c r="BJ31" s="88">
        <f t="shared" si="7"/>
        <v>0</v>
      </c>
      <c r="BQ31" s="69"/>
    </row>
    <row r="32" spans="2:69" x14ac:dyDescent="0.25">
      <c r="B32" s="79">
        <v>20</v>
      </c>
      <c r="C32" s="80">
        <v>45343</v>
      </c>
      <c r="D32" s="79" t="s">
        <v>59</v>
      </c>
      <c r="E32" s="79" t="s">
        <v>137</v>
      </c>
      <c r="F32" s="82">
        <v>9810.25</v>
      </c>
      <c r="G32" s="82">
        <v>9825</v>
      </c>
      <c r="H32" s="83">
        <v>0.43402777777777773</v>
      </c>
      <c r="I32" s="83">
        <v>0.44444444444444442</v>
      </c>
      <c r="J32" s="79" t="s">
        <v>130</v>
      </c>
      <c r="K32" s="79" t="s">
        <v>132</v>
      </c>
      <c r="L32" s="73">
        <v>120</v>
      </c>
      <c r="M32" s="79">
        <v>30</v>
      </c>
      <c r="N32" s="79" t="s">
        <v>43</v>
      </c>
      <c r="O32" s="79" t="s">
        <v>58</v>
      </c>
      <c r="P32" s="79">
        <v>160</v>
      </c>
      <c r="Q32" s="105">
        <f t="shared" si="0"/>
        <v>1.3333333333333333</v>
      </c>
      <c r="R32" s="73">
        <f t="shared" si="1"/>
        <v>12735</v>
      </c>
      <c r="S32" s="73"/>
      <c r="T32" s="89"/>
      <c r="U32" s="90"/>
      <c r="V32" s="79"/>
      <c r="Y32" s="74">
        <v>21</v>
      </c>
      <c r="Z32" s="80">
        <v>45352</v>
      </c>
      <c r="AA32" s="74">
        <f t="shared" si="2"/>
        <v>180</v>
      </c>
      <c r="AB32" s="76">
        <f t="shared" si="3"/>
        <v>9695</v>
      </c>
      <c r="AC32" s="77" t="str">
        <f t="shared" si="4"/>
        <v>Mar 2024</v>
      </c>
      <c r="BG32" s="86"/>
      <c r="BH32" s="87">
        <f t="shared" si="5"/>
        <v>1.0416666666666685E-2</v>
      </c>
      <c r="BI32" s="88">
        <f t="shared" si="6"/>
        <v>2</v>
      </c>
      <c r="BJ32" s="88">
        <f t="shared" si="7"/>
        <v>0</v>
      </c>
      <c r="BQ32" s="69"/>
    </row>
    <row r="33" spans="2:69" x14ac:dyDescent="0.25">
      <c r="B33" s="79">
        <v>21</v>
      </c>
      <c r="C33" s="80">
        <v>45346</v>
      </c>
      <c r="D33" s="79" t="s">
        <v>48</v>
      </c>
      <c r="E33" s="79" t="s">
        <v>134</v>
      </c>
      <c r="F33" s="82">
        <v>3378.25</v>
      </c>
      <c r="G33" s="82">
        <v>3388.75</v>
      </c>
      <c r="H33" s="83">
        <v>0.41666666666666669</v>
      </c>
      <c r="I33" s="83">
        <v>0.42708333333333331</v>
      </c>
      <c r="J33" s="79" t="s">
        <v>50</v>
      </c>
      <c r="K33" s="79" t="s">
        <v>135</v>
      </c>
      <c r="L33" s="73">
        <v>140</v>
      </c>
      <c r="M33" s="79">
        <v>40</v>
      </c>
      <c r="N33" s="79" t="s">
        <v>43</v>
      </c>
      <c r="O33" s="79" t="s">
        <v>58</v>
      </c>
      <c r="P33" s="79">
        <v>160</v>
      </c>
      <c r="Q33" s="105">
        <f t="shared" si="0"/>
        <v>1.1428571428571428</v>
      </c>
      <c r="R33" s="73">
        <f t="shared" si="1"/>
        <v>12895</v>
      </c>
      <c r="S33" s="73"/>
      <c r="T33" s="89"/>
      <c r="U33" s="90"/>
      <c r="V33" s="79"/>
      <c r="Y33" s="74">
        <v>22</v>
      </c>
      <c r="Z33" s="80">
        <v>45353</v>
      </c>
      <c r="AA33" s="74">
        <f t="shared" si="2"/>
        <v>-160</v>
      </c>
      <c r="AB33" s="76">
        <f t="shared" si="3"/>
        <v>9535</v>
      </c>
      <c r="AC33" s="77" t="str">
        <f t="shared" si="4"/>
        <v>Mar 2024</v>
      </c>
      <c r="BG33" s="86"/>
      <c r="BH33" s="87">
        <f t="shared" si="5"/>
        <v>1.041666666666663E-2</v>
      </c>
      <c r="BI33" s="88">
        <f t="shared" si="6"/>
        <v>3</v>
      </c>
      <c r="BJ33" s="88">
        <f t="shared" si="7"/>
        <v>0</v>
      </c>
      <c r="BQ33" s="69"/>
    </row>
    <row r="34" spans="2:69" x14ac:dyDescent="0.25">
      <c r="B34" s="79">
        <v>22</v>
      </c>
      <c r="C34" s="80">
        <v>45346</v>
      </c>
      <c r="D34" s="79" t="s">
        <v>48</v>
      </c>
      <c r="E34" s="79" t="s">
        <v>133</v>
      </c>
      <c r="F34" s="82">
        <v>1511.5</v>
      </c>
      <c r="G34" s="82">
        <v>1518.25</v>
      </c>
      <c r="H34" s="83">
        <v>0.40972222222222227</v>
      </c>
      <c r="I34" s="83">
        <v>0.4236111111111111</v>
      </c>
      <c r="J34" s="79" t="s">
        <v>130</v>
      </c>
      <c r="K34" s="79" t="s">
        <v>128</v>
      </c>
      <c r="L34" s="73">
        <v>130</v>
      </c>
      <c r="M34" s="79">
        <v>30</v>
      </c>
      <c r="N34" s="79" t="s">
        <v>43</v>
      </c>
      <c r="O34" s="79" t="s">
        <v>58</v>
      </c>
      <c r="P34" s="79">
        <v>170</v>
      </c>
      <c r="Q34" s="105">
        <f t="shared" si="0"/>
        <v>1.3076923076923077</v>
      </c>
      <c r="R34" s="73">
        <f t="shared" si="1"/>
        <v>13065</v>
      </c>
      <c r="S34" s="73"/>
      <c r="T34" s="89"/>
      <c r="U34" s="90"/>
      <c r="V34" s="79"/>
      <c r="Y34" s="74">
        <v>23</v>
      </c>
      <c r="Z34" s="80">
        <v>45354</v>
      </c>
      <c r="AA34" s="74">
        <f t="shared" si="2"/>
        <v>-150</v>
      </c>
      <c r="AB34" s="76">
        <f t="shared" si="3"/>
        <v>9385</v>
      </c>
      <c r="AC34" s="77" t="str">
        <f t="shared" si="4"/>
        <v>Mar 2024</v>
      </c>
      <c r="BG34" s="86"/>
      <c r="BH34" s="87">
        <f t="shared" si="5"/>
        <v>1.388888888888884E-2</v>
      </c>
      <c r="BI34" s="88">
        <f t="shared" si="6"/>
        <v>4</v>
      </c>
      <c r="BJ34" s="88">
        <f t="shared" si="7"/>
        <v>0</v>
      </c>
      <c r="BQ34" s="69"/>
    </row>
    <row r="35" spans="2:69" x14ac:dyDescent="0.25">
      <c r="B35" s="79">
        <v>23</v>
      </c>
      <c r="C35" s="80">
        <v>45347</v>
      </c>
      <c r="D35" s="79" t="s">
        <v>54</v>
      </c>
      <c r="E35" s="79" t="s">
        <v>131</v>
      </c>
      <c r="F35" s="82">
        <v>1610.75</v>
      </c>
      <c r="G35" s="82">
        <v>1615.25</v>
      </c>
      <c r="H35" s="83">
        <v>0.4201388888888889</v>
      </c>
      <c r="I35" s="83">
        <v>0.43055555555555558</v>
      </c>
      <c r="J35" s="79" t="s">
        <v>50</v>
      </c>
      <c r="K35" s="79" t="s">
        <v>132</v>
      </c>
      <c r="L35" s="73">
        <v>125</v>
      </c>
      <c r="M35" s="79">
        <v>50</v>
      </c>
      <c r="N35" s="79" t="s">
        <v>51</v>
      </c>
      <c r="O35" s="79" t="s">
        <v>52</v>
      </c>
      <c r="P35" s="79">
        <v>180</v>
      </c>
      <c r="Q35" s="105">
        <f t="shared" si="0"/>
        <v>-1.44</v>
      </c>
      <c r="R35" s="73">
        <f t="shared" si="1"/>
        <v>13245</v>
      </c>
      <c r="S35" s="73"/>
      <c r="T35" s="89"/>
      <c r="U35" s="90"/>
      <c r="V35" s="79"/>
      <c r="Y35" s="74">
        <v>24</v>
      </c>
      <c r="Z35" s="80">
        <v>45355</v>
      </c>
      <c r="AA35" s="74">
        <f t="shared" si="2"/>
        <v>520</v>
      </c>
      <c r="AB35" s="76">
        <f t="shared" si="3"/>
        <v>9905</v>
      </c>
      <c r="AC35" s="77" t="str">
        <f t="shared" si="4"/>
        <v>Mar 2024</v>
      </c>
      <c r="BG35" s="86"/>
      <c r="BH35" s="87">
        <f t="shared" si="5"/>
        <v>1.0416666666666685E-2</v>
      </c>
      <c r="BI35" s="88">
        <f t="shared" si="6"/>
        <v>0</v>
      </c>
      <c r="BJ35" s="88">
        <f t="shared" si="7"/>
        <v>1</v>
      </c>
      <c r="BQ35" s="69"/>
    </row>
    <row r="36" spans="2:69" x14ac:dyDescent="0.25">
      <c r="B36" s="79">
        <v>24</v>
      </c>
      <c r="C36" s="80">
        <v>45348</v>
      </c>
      <c r="D36" s="79" t="s">
        <v>55</v>
      </c>
      <c r="E36" s="79" t="s">
        <v>129</v>
      </c>
      <c r="F36" s="82">
        <v>2305.1999999999998</v>
      </c>
      <c r="G36" s="82">
        <v>2312.5</v>
      </c>
      <c r="H36" s="83">
        <v>0.46527777777777773</v>
      </c>
      <c r="I36" s="83">
        <v>0.47916666666666669</v>
      </c>
      <c r="J36" s="79" t="s">
        <v>130</v>
      </c>
      <c r="K36" s="79" t="s">
        <v>128</v>
      </c>
      <c r="L36" s="73">
        <v>140</v>
      </c>
      <c r="M36" s="79">
        <v>40</v>
      </c>
      <c r="N36" s="79" t="s">
        <v>51</v>
      </c>
      <c r="O36" s="79" t="s">
        <v>52</v>
      </c>
      <c r="P36" s="79">
        <v>200</v>
      </c>
      <c r="Q36" s="105">
        <f t="shared" si="0"/>
        <v>-1.4285714285714286</v>
      </c>
      <c r="R36" s="73">
        <f t="shared" si="1"/>
        <v>13445</v>
      </c>
      <c r="S36" s="73"/>
      <c r="T36" s="89"/>
      <c r="U36" s="90"/>
      <c r="V36" s="79"/>
      <c r="Y36" s="74">
        <v>25</v>
      </c>
      <c r="Z36" s="80">
        <v>45356</v>
      </c>
      <c r="AA36" s="74">
        <f t="shared" si="2"/>
        <v>-310</v>
      </c>
      <c r="AB36" s="76">
        <f t="shared" si="3"/>
        <v>9595</v>
      </c>
      <c r="AC36" s="77" t="str">
        <f t="shared" si="4"/>
        <v>Mar 2024</v>
      </c>
      <c r="BG36" s="86"/>
      <c r="BH36" s="87">
        <f t="shared" si="5"/>
        <v>1.3888888888888951E-2</v>
      </c>
      <c r="BI36" s="88">
        <f t="shared" si="6"/>
        <v>0</v>
      </c>
      <c r="BJ36" s="88">
        <f t="shared" si="7"/>
        <v>2</v>
      </c>
      <c r="BQ36" s="69"/>
    </row>
    <row r="37" spans="2:69" x14ac:dyDescent="0.25">
      <c r="B37" s="79">
        <v>25</v>
      </c>
      <c r="C37" s="80">
        <v>45349</v>
      </c>
      <c r="D37" s="79" t="s">
        <v>57</v>
      </c>
      <c r="E37" s="79" t="s">
        <v>49</v>
      </c>
      <c r="F37" s="82">
        <v>690.75</v>
      </c>
      <c r="G37" s="82">
        <v>692.5</v>
      </c>
      <c r="H37" s="83">
        <v>0.40625</v>
      </c>
      <c r="I37" s="83">
        <v>0.41666666666666669</v>
      </c>
      <c r="J37" s="79" t="s">
        <v>50</v>
      </c>
      <c r="K37" s="79" t="s">
        <v>132</v>
      </c>
      <c r="L37" s="73">
        <v>120</v>
      </c>
      <c r="M37" s="79">
        <v>40</v>
      </c>
      <c r="N37" s="79" t="s">
        <v>51</v>
      </c>
      <c r="O37" s="79" t="s">
        <v>53</v>
      </c>
      <c r="P37" s="79">
        <v>50</v>
      </c>
      <c r="Q37" s="105">
        <f t="shared" si="0"/>
        <v>-0.41666666666666669</v>
      </c>
      <c r="R37" s="73">
        <f t="shared" si="1"/>
        <v>13495</v>
      </c>
      <c r="S37" s="73"/>
      <c r="T37" s="89"/>
      <c r="U37" s="90"/>
      <c r="V37" s="79"/>
      <c r="Y37" s="74">
        <v>26</v>
      </c>
      <c r="Z37" s="80">
        <v>45359</v>
      </c>
      <c r="AA37" s="74">
        <f t="shared" si="2"/>
        <v>330</v>
      </c>
      <c r="AB37" s="76">
        <f t="shared" si="3"/>
        <v>9925</v>
      </c>
      <c r="AC37" s="77" t="str">
        <f t="shared" si="4"/>
        <v>Mar 2024</v>
      </c>
      <c r="BG37" s="86"/>
      <c r="BH37" s="87">
        <f t="shared" si="5"/>
        <v>1.0416666666666685E-2</v>
      </c>
      <c r="BI37" s="88">
        <f t="shared" si="6"/>
        <v>0</v>
      </c>
      <c r="BJ37" s="88">
        <f t="shared" si="7"/>
        <v>3</v>
      </c>
      <c r="BQ37" s="69"/>
    </row>
    <row r="38" spans="2:69" x14ac:dyDescent="0.25">
      <c r="B38" s="79">
        <v>26</v>
      </c>
      <c r="C38" s="80">
        <v>45350</v>
      </c>
      <c r="D38" s="79" t="s">
        <v>59</v>
      </c>
      <c r="E38" s="79" t="s">
        <v>137</v>
      </c>
      <c r="F38" s="82">
        <v>9805</v>
      </c>
      <c r="G38" s="82">
        <v>9817.25</v>
      </c>
      <c r="H38" s="83">
        <v>0.41666666666666669</v>
      </c>
      <c r="I38" s="83">
        <v>0.42708333333333331</v>
      </c>
      <c r="J38" s="79" t="s">
        <v>130</v>
      </c>
      <c r="K38" s="79" t="s">
        <v>135</v>
      </c>
      <c r="L38" s="73">
        <v>130</v>
      </c>
      <c r="M38" s="79">
        <v>30</v>
      </c>
      <c r="N38" s="79" t="s">
        <v>51</v>
      </c>
      <c r="O38" s="79" t="s">
        <v>52</v>
      </c>
      <c r="P38" s="79">
        <v>160</v>
      </c>
      <c r="Q38" s="105">
        <f t="shared" si="0"/>
        <v>-1.2307692307692308</v>
      </c>
      <c r="R38" s="73">
        <f t="shared" si="1"/>
        <v>13655</v>
      </c>
      <c r="S38" s="73"/>
      <c r="T38" s="89"/>
      <c r="U38" s="90"/>
      <c r="V38" s="79"/>
      <c r="Y38" s="74">
        <v>27</v>
      </c>
      <c r="Z38" s="80">
        <v>45360</v>
      </c>
      <c r="AA38" s="74">
        <f t="shared" si="2"/>
        <v>-170</v>
      </c>
      <c r="AB38" s="76">
        <f t="shared" si="3"/>
        <v>9755</v>
      </c>
      <c r="AC38" s="77" t="str">
        <f t="shared" si="4"/>
        <v>Mar 2024</v>
      </c>
      <c r="BG38" s="86"/>
      <c r="BH38" s="87">
        <f t="shared" si="5"/>
        <v>1.041666666666663E-2</v>
      </c>
      <c r="BI38" s="88">
        <f t="shared" si="6"/>
        <v>0</v>
      </c>
      <c r="BJ38" s="88">
        <f t="shared" si="7"/>
        <v>4</v>
      </c>
      <c r="BQ38" s="69"/>
    </row>
    <row r="39" spans="2:69" x14ac:dyDescent="0.25">
      <c r="B39" s="79">
        <v>27</v>
      </c>
      <c r="C39" s="80">
        <v>45350</v>
      </c>
      <c r="D39" s="79" t="s">
        <v>59</v>
      </c>
      <c r="E39" s="79" t="s">
        <v>134</v>
      </c>
      <c r="F39" s="82">
        <v>3360.75</v>
      </c>
      <c r="G39" s="82">
        <v>3372</v>
      </c>
      <c r="H39" s="83">
        <v>0.42708333333333331</v>
      </c>
      <c r="I39" s="83">
        <v>0.4375</v>
      </c>
      <c r="J39" s="79" t="s">
        <v>50</v>
      </c>
      <c r="K39" s="79" t="s">
        <v>128</v>
      </c>
      <c r="L39" s="73">
        <v>135</v>
      </c>
      <c r="M39" s="79">
        <v>35</v>
      </c>
      <c r="N39" s="79" t="s">
        <v>43</v>
      </c>
      <c r="O39" s="79" t="s">
        <v>58</v>
      </c>
      <c r="P39" s="79">
        <v>170</v>
      </c>
      <c r="Q39" s="105">
        <f t="shared" si="0"/>
        <v>1.2592592592592593</v>
      </c>
      <c r="R39" s="73">
        <f t="shared" si="1"/>
        <v>13825</v>
      </c>
      <c r="S39" s="73"/>
      <c r="T39" s="89"/>
      <c r="U39" s="90">
        <v>4</v>
      </c>
      <c r="V39" s="79"/>
      <c r="Y39" s="74">
        <v>28</v>
      </c>
      <c r="Z39" s="80">
        <v>45361</v>
      </c>
      <c r="AA39" s="74">
        <f t="shared" si="2"/>
        <v>-180</v>
      </c>
      <c r="AB39" s="76">
        <f t="shared" si="3"/>
        <v>9575</v>
      </c>
      <c r="AC39" s="77" t="str">
        <f t="shared" si="4"/>
        <v>Mar 2024</v>
      </c>
      <c r="BG39" s="86"/>
      <c r="BH39" s="87">
        <f t="shared" si="5"/>
        <v>1.0416666666666685E-2</v>
      </c>
      <c r="BI39" s="88">
        <f t="shared" si="6"/>
        <v>1</v>
      </c>
      <c r="BJ39" s="88">
        <f t="shared" si="7"/>
        <v>0</v>
      </c>
      <c r="BQ39" s="69"/>
    </row>
    <row r="40" spans="2:69" x14ac:dyDescent="0.25">
      <c r="B40" s="79">
        <v>28</v>
      </c>
      <c r="C40" s="80">
        <v>45352</v>
      </c>
      <c r="D40" s="79" t="s">
        <v>48</v>
      </c>
      <c r="E40" s="79" t="s">
        <v>131</v>
      </c>
      <c r="F40" s="82">
        <v>1605</v>
      </c>
      <c r="G40" s="82">
        <v>1612.75</v>
      </c>
      <c r="H40" s="83">
        <v>0.41319444444444442</v>
      </c>
      <c r="I40" s="83">
        <v>0.4236111111111111</v>
      </c>
      <c r="J40" s="79" t="s">
        <v>130</v>
      </c>
      <c r="K40" s="79" t="s">
        <v>132</v>
      </c>
      <c r="L40" s="73">
        <v>125</v>
      </c>
      <c r="M40" s="79">
        <v>40</v>
      </c>
      <c r="N40" s="79" t="s">
        <v>43</v>
      </c>
      <c r="O40" s="79" t="s">
        <v>58</v>
      </c>
      <c r="P40" s="79">
        <v>180</v>
      </c>
      <c r="Q40" s="105">
        <f t="shared" si="0"/>
        <v>1.44</v>
      </c>
      <c r="R40" s="73">
        <f t="shared" si="1"/>
        <v>14005</v>
      </c>
      <c r="S40" s="73"/>
      <c r="T40" s="89"/>
      <c r="U40" s="90"/>
      <c r="V40" s="79"/>
      <c r="Y40" s="74">
        <v>29</v>
      </c>
      <c r="Z40" s="80">
        <v>45362</v>
      </c>
      <c r="AA40" s="74">
        <f t="shared" si="2"/>
        <v>150</v>
      </c>
      <c r="AB40" s="76">
        <f t="shared" si="3"/>
        <v>9725</v>
      </c>
      <c r="AC40" s="77" t="str">
        <f t="shared" si="4"/>
        <v>Mar 2024</v>
      </c>
      <c r="BG40" s="86"/>
      <c r="BH40" s="87">
        <f t="shared" si="5"/>
        <v>1.0416666666666685E-2</v>
      </c>
      <c r="BI40" s="88">
        <f t="shared" si="6"/>
        <v>2</v>
      </c>
      <c r="BJ40" s="88">
        <f t="shared" si="7"/>
        <v>0</v>
      </c>
      <c r="BQ40" s="69"/>
    </row>
    <row r="41" spans="2:69" x14ac:dyDescent="0.25">
      <c r="B41" s="79">
        <v>29</v>
      </c>
      <c r="C41" s="80">
        <v>45353</v>
      </c>
      <c r="D41" s="79" t="s">
        <v>54</v>
      </c>
      <c r="E41" s="79" t="s">
        <v>136</v>
      </c>
      <c r="F41" s="82">
        <v>595.25</v>
      </c>
      <c r="G41" s="82">
        <v>600</v>
      </c>
      <c r="H41" s="83">
        <v>0.41666666666666669</v>
      </c>
      <c r="I41" s="83">
        <v>0.42708333333333331</v>
      </c>
      <c r="J41" s="79" t="s">
        <v>50</v>
      </c>
      <c r="K41" s="79" t="s">
        <v>135</v>
      </c>
      <c r="L41" s="73">
        <v>120</v>
      </c>
      <c r="M41" s="79">
        <v>50</v>
      </c>
      <c r="N41" s="79" t="s">
        <v>51</v>
      </c>
      <c r="O41" s="79" t="s">
        <v>52</v>
      </c>
      <c r="P41" s="79">
        <v>160</v>
      </c>
      <c r="Q41" s="105">
        <f t="shared" si="0"/>
        <v>-1.3333333333333333</v>
      </c>
      <c r="R41" s="73">
        <f t="shared" si="1"/>
        <v>14165</v>
      </c>
      <c r="S41" s="73"/>
      <c r="T41" s="91"/>
      <c r="U41" s="92"/>
      <c r="V41" s="79"/>
      <c r="Y41" s="74">
        <v>30</v>
      </c>
      <c r="Z41" s="80">
        <v>45363</v>
      </c>
      <c r="AA41" s="74">
        <f t="shared" si="2"/>
        <v>330</v>
      </c>
      <c r="AB41" s="76">
        <f t="shared" si="3"/>
        <v>10055</v>
      </c>
      <c r="AC41" s="77" t="str">
        <f t="shared" si="4"/>
        <v>Mar 2024</v>
      </c>
      <c r="BG41" s="86"/>
      <c r="BH41" s="87">
        <f t="shared" si="5"/>
        <v>1.041666666666663E-2</v>
      </c>
      <c r="BI41" s="88">
        <f t="shared" si="6"/>
        <v>0</v>
      </c>
      <c r="BJ41" s="88">
        <f t="shared" si="7"/>
        <v>1</v>
      </c>
      <c r="BQ41" s="69"/>
    </row>
    <row r="42" spans="2:69" x14ac:dyDescent="0.25">
      <c r="B42" s="79">
        <v>30</v>
      </c>
      <c r="C42" s="80">
        <v>45354</v>
      </c>
      <c r="D42" s="79" t="s">
        <v>55</v>
      </c>
      <c r="E42" s="79" t="s">
        <v>137</v>
      </c>
      <c r="F42" s="82">
        <v>9800.25</v>
      </c>
      <c r="G42" s="82">
        <v>9815</v>
      </c>
      <c r="H42" s="83">
        <v>0.4236111111111111</v>
      </c>
      <c r="I42" s="83">
        <v>0.43402777777777773</v>
      </c>
      <c r="J42" s="79" t="s">
        <v>130</v>
      </c>
      <c r="K42" s="79" t="s">
        <v>128</v>
      </c>
      <c r="L42" s="73">
        <v>130</v>
      </c>
      <c r="M42" s="79">
        <v>35</v>
      </c>
      <c r="N42" s="79" t="s">
        <v>51</v>
      </c>
      <c r="O42" s="79" t="s">
        <v>52</v>
      </c>
      <c r="P42" s="79">
        <v>150</v>
      </c>
      <c r="Q42" s="105">
        <f t="shared" si="0"/>
        <v>-1.1538461538461537</v>
      </c>
      <c r="R42" s="73">
        <f t="shared" si="1"/>
        <v>14315</v>
      </c>
      <c r="S42" s="73"/>
      <c r="T42" s="91"/>
      <c r="U42" s="92"/>
      <c r="V42" s="79"/>
      <c r="Y42" s="74">
        <v>31</v>
      </c>
      <c r="Z42" s="80">
        <v>45366</v>
      </c>
      <c r="AA42" s="74">
        <f t="shared" si="2"/>
        <v>10</v>
      </c>
      <c r="AB42" s="76">
        <f t="shared" si="3"/>
        <v>10065</v>
      </c>
      <c r="AC42" s="77" t="str">
        <f t="shared" si="4"/>
        <v>Mar 2024</v>
      </c>
      <c r="BG42" s="86"/>
      <c r="BH42" s="87">
        <f t="shared" si="5"/>
        <v>1.041666666666663E-2</v>
      </c>
      <c r="BI42" s="88">
        <f t="shared" si="6"/>
        <v>0</v>
      </c>
      <c r="BJ42" s="88">
        <f t="shared" si="7"/>
        <v>2</v>
      </c>
      <c r="BQ42" s="69"/>
    </row>
    <row r="43" spans="2:69" x14ac:dyDescent="0.25">
      <c r="B43" s="79">
        <v>31</v>
      </c>
      <c r="C43" s="80">
        <v>45355</v>
      </c>
      <c r="D43" s="79" t="s">
        <v>57</v>
      </c>
      <c r="E43" s="79" t="s">
        <v>129</v>
      </c>
      <c r="F43" s="82">
        <v>2297.25</v>
      </c>
      <c r="G43" s="82">
        <v>2305.75</v>
      </c>
      <c r="H43" s="83">
        <v>0.41319444444444442</v>
      </c>
      <c r="I43" s="83">
        <v>0.43055555555555558</v>
      </c>
      <c r="J43" s="79" t="s">
        <v>50</v>
      </c>
      <c r="K43" s="79" t="s">
        <v>132</v>
      </c>
      <c r="L43" s="73">
        <v>115</v>
      </c>
      <c r="M43" s="79">
        <v>40</v>
      </c>
      <c r="N43" s="79" t="s">
        <v>43</v>
      </c>
      <c r="O43" s="79" t="s">
        <v>60</v>
      </c>
      <c r="P43" s="79">
        <v>520</v>
      </c>
      <c r="Q43" s="105">
        <f t="shared" si="0"/>
        <v>4.5217391304347823</v>
      </c>
      <c r="R43" s="73">
        <f t="shared" si="1"/>
        <v>14835</v>
      </c>
      <c r="S43" s="73"/>
      <c r="T43" s="91"/>
      <c r="U43" s="92"/>
      <c r="V43" s="79"/>
      <c r="Y43" s="74">
        <v>32</v>
      </c>
      <c r="Z43" s="80">
        <v>45367</v>
      </c>
      <c r="AA43" s="74">
        <f t="shared" si="2"/>
        <v>-170</v>
      </c>
      <c r="AB43" s="76">
        <f t="shared" si="3"/>
        <v>9895</v>
      </c>
      <c r="AC43" s="77" t="str">
        <f t="shared" si="4"/>
        <v>Mar 2024</v>
      </c>
      <c r="BG43" s="86"/>
      <c r="BH43" s="87">
        <f t="shared" si="5"/>
        <v>1.736111111111116E-2</v>
      </c>
      <c r="BI43" s="88">
        <f t="shared" si="6"/>
        <v>1</v>
      </c>
      <c r="BJ43" s="88">
        <f t="shared" si="7"/>
        <v>0</v>
      </c>
      <c r="BQ43" s="69"/>
    </row>
    <row r="44" spans="2:69" x14ac:dyDescent="0.25">
      <c r="B44" s="79">
        <v>32</v>
      </c>
      <c r="C44" s="80">
        <v>45356</v>
      </c>
      <c r="D44" s="79" t="s">
        <v>59</v>
      </c>
      <c r="E44" s="79" t="s">
        <v>133</v>
      </c>
      <c r="F44" s="82">
        <v>1505.25</v>
      </c>
      <c r="G44" s="82">
        <v>1511.5</v>
      </c>
      <c r="H44" s="83">
        <v>0.4201388888888889</v>
      </c>
      <c r="I44" s="83">
        <v>0.43055555555555558</v>
      </c>
      <c r="J44" s="79" t="s">
        <v>130</v>
      </c>
      <c r="K44" s="79" t="s">
        <v>135</v>
      </c>
      <c r="L44" s="73">
        <v>135</v>
      </c>
      <c r="M44" s="79">
        <v>30</v>
      </c>
      <c r="N44" s="79" t="s">
        <v>51</v>
      </c>
      <c r="O44" s="79" t="s">
        <v>52</v>
      </c>
      <c r="P44" s="79">
        <v>150</v>
      </c>
      <c r="Q44" s="105">
        <f t="shared" si="0"/>
        <v>-1.1111111111111112</v>
      </c>
      <c r="R44" s="73">
        <f t="shared" si="1"/>
        <v>14985</v>
      </c>
      <c r="S44" s="73"/>
      <c r="T44" s="91"/>
      <c r="U44" s="92"/>
      <c r="V44" s="79"/>
      <c r="Y44" s="74">
        <v>33</v>
      </c>
      <c r="Z44" s="80">
        <v>45368</v>
      </c>
      <c r="AA44" s="74">
        <f t="shared" si="2"/>
        <v>-150</v>
      </c>
      <c r="AB44" s="76">
        <f t="shared" si="3"/>
        <v>9745</v>
      </c>
      <c r="AC44" s="77" t="str">
        <f t="shared" si="4"/>
        <v>Mar 2024</v>
      </c>
      <c r="BG44" s="86"/>
      <c r="BH44" s="87">
        <f t="shared" si="5"/>
        <v>1.0416666666666685E-2</v>
      </c>
      <c r="BI44" s="88">
        <f t="shared" si="6"/>
        <v>0</v>
      </c>
      <c r="BJ44" s="88">
        <f t="shared" si="7"/>
        <v>1</v>
      </c>
      <c r="BQ44" s="69"/>
    </row>
    <row r="45" spans="2:69" x14ac:dyDescent="0.25">
      <c r="B45" s="79">
        <v>33</v>
      </c>
      <c r="C45" s="80">
        <v>45356</v>
      </c>
      <c r="D45" s="79" t="s">
        <v>59</v>
      </c>
      <c r="E45" s="79" t="s">
        <v>49</v>
      </c>
      <c r="F45" s="82">
        <v>689.8</v>
      </c>
      <c r="G45" s="82">
        <v>692</v>
      </c>
      <c r="H45" s="83">
        <v>0.42708333333333331</v>
      </c>
      <c r="I45" s="83">
        <v>0.44097222222222227</v>
      </c>
      <c r="J45" s="79" t="s">
        <v>50</v>
      </c>
      <c r="K45" s="79" t="s">
        <v>128</v>
      </c>
      <c r="L45" s="73">
        <v>120</v>
      </c>
      <c r="M45" s="79">
        <v>40</v>
      </c>
      <c r="N45" s="79" t="s">
        <v>51</v>
      </c>
      <c r="O45" s="79" t="s">
        <v>52</v>
      </c>
      <c r="P45" s="79">
        <v>160</v>
      </c>
      <c r="Q45" s="105">
        <f t="shared" si="0"/>
        <v>-1.3333333333333333</v>
      </c>
      <c r="R45" s="73">
        <f t="shared" si="1"/>
        <v>15145</v>
      </c>
      <c r="S45" s="73"/>
      <c r="T45" s="79"/>
      <c r="U45" s="92"/>
      <c r="V45" s="79"/>
      <c r="Y45" s="74">
        <v>34</v>
      </c>
      <c r="Z45" s="80">
        <v>45369</v>
      </c>
      <c r="AA45" s="74">
        <f t="shared" si="2"/>
        <v>30</v>
      </c>
      <c r="AB45" s="76">
        <f t="shared" si="3"/>
        <v>9775</v>
      </c>
      <c r="AC45" s="77" t="str">
        <f t="shared" si="4"/>
        <v>Mar 2024</v>
      </c>
      <c r="BG45" s="86"/>
      <c r="BH45" s="87">
        <f t="shared" si="5"/>
        <v>1.3888888888888951E-2</v>
      </c>
      <c r="BI45" s="88">
        <f t="shared" si="6"/>
        <v>0</v>
      </c>
      <c r="BJ45" s="88">
        <f t="shared" si="7"/>
        <v>2</v>
      </c>
      <c r="BQ45" s="69"/>
    </row>
    <row r="46" spans="2:69" ht="15" customHeight="1" x14ac:dyDescent="0.25">
      <c r="B46" s="79">
        <v>34</v>
      </c>
      <c r="C46" s="80">
        <v>45359</v>
      </c>
      <c r="D46" s="79" t="s">
        <v>48</v>
      </c>
      <c r="E46" s="79" t="s">
        <v>131</v>
      </c>
      <c r="F46" s="82">
        <v>1615.25</v>
      </c>
      <c r="G46" s="82">
        <v>1620</v>
      </c>
      <c r="H46" s="83">
        <v>0.40972222222222227</v>
      </c>
      <c r="I46" s="83">
        <v>0.4201388888888889</v>
      </c>
      <c r="J46" s="79" t="s">
        <v>130</v>
      </c>
      <c r="K46" s="79" t="s">
        <v>132</v>
      </c>
      <c r="L46" s="73">
        <v>125</v>
      </c>
      <c r="M46" s="79">
        <v>50</v>
      </c>
      <c r="N46" s="79" t="s">
        <v>43</v>
      </c>
      <c r="O46" s="79" t="s">
        <v>58</v>
      </c>
      <c r="P46" s="79">
        <v>170</v>
      </c>
      <c r="Q46" s="105">
        <f t="shared" si="0"/>
        <v>1.36</v>
      </c>
      <c r="R46" s="73">
        <f t="shared" si="1"/>
        <v>15315</v>
      </c>
      <c r="S46" s="73"/>
      <c r="T46" s="79"/>
      <c r="U46" s="92">
        <v>5</v>
      </c>
      <c r="V46" s="79"/>
      <c r="Y46" s="74">
        <v>35</v>
      </c>
      <c r="Z46" s="80">
        <v>45370</v>
      </c>
      <c r="AA46" s="74">
        <f t="shared" si="2"/>
        <v>20</v>
      </c>
      <c r="AB46" s="76">
        <f t="shared" si="3"/>
        <v>9795</v>
      </c>
      <c r="AC46" s="77" t="str">
        <f t="shared" si="4"/>
        <v>Mar 2024</v>
      </c>
      <c r="BG46" s="86"/>
      <c r="BH46" s="87">
        <f t="shared" si="5"/>
        <v>1.041666666666663E-2</v>
      </c>
      <c r="BI46" s="88">
        <f t="shared" si="6"/>
        <v>1</v>
      </c>
      <c r="BJ46" s="88">
        <f t="shared" si="7"/>
        <v>0</v>
      </c>
      <c r="BQ46" s="69"/>
    </row>
    <row r="47" spans="2:69" x14ac:dyDescent="0.25">
      <c r="B47" s="79">
        <v>35</v>
      </c>
      <c r="C47" s="80">
        <v>45359</v>
      </c>
      <c r="D47" s="79" t="s">
        <v>48</v>
      </c>
      <c r="E47" s="79" t="s">
        <v>137</v>
      </c>
      <c r="F47" s="82">
        <v>9812.5</v>
      </c>
      <c r="G47" s="82">
        <v>9820.75</v>
      </c>
      <c r="H47" s="83">
        <v>0.41666666666666669</v>
      </c>
      <c r="I47" s="83">
        <v>0.43055555555555558</v>
      </c>
      <c r="J47" s="79" t="s">
        <v>50</v>
      </c>
      <c r="K47" s="79" t="s">
        <v>135</v>
      </c>
      <c r="L47" s="73">
        <v>130</v>
      </c>
      <c r="M47" s="79">
        <v>30</v>
      </c>
      <c r="N47" s="79" t="s">
        <v>43</v>
      </c>
      <c r="O47" s="79" t="s">
        <v>58</v>
      </c>
      <c r="P47" s="79">
        <v>160</v>
      </c>
      <c r="Q47" s="105">
        <f t="shared" si="0"/>
        <v>1.2307692307692308</v>
      </c>
      <c r="R47" s="73">
        <f t="shared" si="1"/>
        <v>15475</v>
      </c>
      <c r="S47" s="73"/>
      <c r="T47" s="79"/>
      <c r="U47" s="92"/>
      <c r="V47" s="79"/>
      <c r="W47" s="79"/>
      <c r="Y47" s="74">
        <v>36</v>
      </c>
      <c r="Z47" s="80">
        <v>45373</v>
      </c>
      <c r="AA47" s="74">
        <f t="shared" si="2"/>
        <v>270</v>
      </c>
      <c r="AB47" s="76">
        <f t="shared" si="3"/>
        <v>10065</v>
      </c>
      <c r="AC47" s="77" t="str">
        <f t="shared" si="4"/>
        <v>Mar 2024</v>
      </c>
      <c r="BG47" s="86"/>
      <c r="BH47" s="87">
        <f t="shared" si="5"/>
        <v>1.3888888888888895E-2</v>
      </c>
      <c r="BI47" s="88">
        <f t="shared" si="6"/>
        <v>2</v>
      </c>
      <c r="BJ47" s="88">
        <f t="shared" si="7"/>
        <v>0</v>
      </c>
      <c r="BQ47" s="69"/>
    </row>
    <row r="48" spans="2:69" x14ac:dyDescent="0.25">
      <c r="B48" s="79">
        <v>36</v>
      </c>
      <c r="C48" s="80">
        <v>45360</v>
      </c>
      <c r="D48" s="79" t="s">
        <v>54</v>
      </c>
      <c r="E48" s="79" t="s">
        <v>134</v>
      </c>
      <c r="F48" s="82">
        <v>3370.5</v>
      </c>
      <c r="G48" s="82">
        <v>3380.75</v>
      </c>
      <c r="H48" s="83">
        <v>0.41319444444444442</v>
      </c>
      <c r="I48" s="83">
        <v>0.42708333333333331</v>
      </c>
      <c r="J48" s="79" t="s">
        <v>130</v>
      </c>
      <c r="K48" s="79" t="s">
        <v>128</v>
      </c>
      <c r="L48" s="73">
        <v>135</v>
      </c>
      <c r="M48" s="79">
        <v>35</v>
      </c>
      <c r="N48" s="79" t="s">
        <v>51</v>
      </c>
      <c r="O48" s="79" t="s">
        <v>52</v>
      </c>
      <c r="P48" s="79">
        <v>170</v>
      </c>
      <c r="Q48" s="105">
        <f t="shared" si="0"/>
        <v>-1.2592592592592593</v>
      </c>
      <c r="R48" s="73">
        <f t="shared" si="1"/>
        <v>15645</v>
      </c>
      <c r="S48" s="73"/>
      <c r="T48" s="79"/>
      <c r="U48" s="92"/>
      <c r="V48" s="79"/>
      <c r="W48" s="79"/>
      <c r="Y48" s="74">
        <v>37</v>
      </c>
      <c r="Z48" s="80">
        <v>45374</v>
      </c>
      <c r="AA48" s="74">
        <f t="shared" si="2"/>
        <v>160</v>
      </c>
      <c r="AB48" s="76">
        <f t="shared" si="3"/>
        <v>10225</v>
      </c>
      <c r="AC48" s="77" t="str">
        <f t="shared" si="4"/>
        <v>Mar 2024</v>
      </c>
      <c r="BG48" s="86"/>
      <c r="BH48" s="87">
        <f t="shared" si="5"/>
        <v>1.3888888888888895E-2</v>
      </c>
      <c r="BI48" s="88">
        <f t="shared" si="6"/>
        <v>0</v>
      </c>
      <c r="BJ48" s="88">
        <f t="shared" si="7"/>
        <v>1</v>
      </c>
      <c r="BQ48" s="69"/>
    </row>
    <row r="49" spans="2:69" x14ac:dyDescent="0.25">
      <c r="B49" s="79">
        <v>37</v>
      </c>
      <c r="C49" s="80">
        <v>45361</v>
      </c>
      <c r="D49" s="79" t="s">
        <v>55</v>
      </c>
      <c r="E49" s="79" t="s">
        <v>129</v>
      </c>
      <c r="F49" s="82">
        <v>2305.5</v>
      </c>
      <c r="G49" s="82">
        <v>2315</v>
      </c>
      <c r="H49" s="83">
        <v>0.4236111111111111</v>
      </c>
      <c r="I49" s="83">
        <v>0.43402777777777773</v>
      </c>
      <c r="J49" s="79" t="s">
        <v>50</v>
      </c>
      <c r="K49" s="79" t="s">
        <v>132</v>
      </c>
      <c r="L49" s="73">
        <v>125</v>
      </c>
      <c r="M49" s="79">
        <v>40</v>
      </c>
      <c r="N49" s="79" t="s">
        <v>51</v>
      </c>
      <c r="O49" s="79" t="s">
        <v>52</v>
      </c>
      <c r="P49" s="79">
        <v>180</v>
      </c>
      <c r="Q49" s="105">
        <f t="shared" si="0"/>
        <v>-1.44</v>
      </c>
      <c r="R49" s="73">
        <f t="shared" si="1"/>
        <v>15825</v>
      </c>
      <c r="S49" s="73"/>
      <c r="T49" s="79"/>
      <c r="U49" s="92"/>
      <c r="V49" s="79"/>
      <c r="W49" s="79"/>
      <c r="Y49" s="74">
        <v>38</v>
      </c>
      <c r="Z49" s="80">
        <v>45376</v>
      </c>
      <c r="AA49" s="74">
        <f t="shared" si="2"/>
        <v>160</v>
      </c>
      <c r="AB49" s="76">
        <f t="shared" si="3"/>
        <v>10385</v>
      </c>
      <c r="AC49" s="77" t="str">
        <f t="shared" si="4"/>
        <v>Mar 2024</v>
      </c>
      <c r="BG49" s="86"/>
      <c r="BH49" s="87">
        <f t="shared" si="5"/>
        <v>1.041666666666663E-2</v>
      </c>
      <c r="BI49" s="88">
        <f t="shared" si="6"/>
        <v>0</v>
      </c>
      <c r="BJ49" s="88">
        <f t="shared" si="7"/>
        <v>2</v>
      </c>
      <c r="BQ49" s="69"/>
    </row>
    <row r="50" spans="2:69" x14ac:dyDescent="0.25">
      <c r="B50" s="79">
        <v>38</v>
      </c>
      <c r="C50" s="80">
        <v>45362</v>
      </c>
      <c r="D50" s="79" t="s">
        <v>57</v>
      </c>
      <c r="E50" s="79" t="s">
        <v>133</v>
      </c>
      <c r="F50" s="82">
        <v>1512.5</v>
      </c>
      <c r="G50" s="82">
        <v>1518.25</v>
      </c>
      <c r="H50" s="83">
        <v>0.41666666666666669</v>
      </c>
      <c r="I50" s="83">
        <v>0.43055555555555558</v>
      </c>
      <c r="J50" s="79" t="s">
        <v>130</v>
      </c>
      <c r="K50" s="79" t="s">
        <v>135</v>
      </c>
      <c r="L50" s="73">
        <v>130</v>
      </c>
      <c r="M50" s="79">
        <v>30</v>
      </c>
      <c r="N50" s="79" t="s">
        <v>43</v>
      </c>
      <c r="O50" s="79" t="s">
        <v>58</v>
      </c>
      <c r="P50" s="79">
        <v>150</v>
      </c>
      <c r="Q50" s="105">
        <f t="shared" si="0"/>
        <v>1.1538461538461537</v>
      </c>
      <c r="R50" s="73">
        <f t="shared" si="1"/>
        <v>15975</v>
      </c>
      <c r="S50" s="73"/>
      <c r="T50" s="79"/>
      <c r="U50" s="92"/>
      <c r="V50" s="79"/>
      <c r="W50" s="79"/>
      <c r="Y50" s="74">
        <v>39</v>
      </c>
      <c r="Z50" s="80">
        <v>45377</v>
      </c>
      <c r="AA50" s="74">
        <f t="shared" si="2"/>
        <v>170</v>
      </c>
      <c r="AB50" s="76">
        <f t="shared" si="3"/>
        <v>10555</v>
      </c>
      <c r="AC50" s="77" t="str">
        <f t="shared" si="4"/>
        <v>Mar 2024</v>
      </c>
      <c r="BG50" s="86"/>
      <c r="BH50" s="87">
        <f t="shared" si="5"/>
        <v>1.3888888888888895E-2</v>
      </c>
      <c r="BI50" s="88">
        <f t="shared" si="6"/>
        <v>1</v>
      </c>
      <c r="BJ50" s="88">
        <f t="shared" si="7"/>
        <v>0</v>
      </c>
      <c r="BQ50" s="69"/>
    </row>
    <row r="51" spans="2:69" x14ac:dyDescent="0.25">
      <c r="B51" s="79">
        <v>39</v>
      </c>
      <c r="C51" s="80">
        <v>45363</v>
      </c>
      <c r="D51" s="79" t="s">
        <v>59</v>
      </c>
      <c r="E51" s="79" t="s">
        <v>49</v>
      </c>
      <c r="F51" s="82">
        <v>690.5</v>
      </c>
      <c r="G51" s="82">
        <v>692.75</v>
      </c>
      <c r="H51" s="83">
        <v>0.40625</v>
      </c>
      <c r="I51" s="83">
        <v>0.4236111111111111</v>
      </c>
      <c r="J51" s="79" t="s">
        <v>50</v>
      </c>
      <c r="K51" s="79" t="s">
        <v>128</v>
      </c>
      <c r="L51" s="73">
        <v>120</v>
      </c>
      <c r="M51" s="79">
        <v>40</v>
      </c>
      <c r="N51" s="79" t="s">
        <v>43</v>
      </c>
      <c r="O51" s="79" t="s">
        <v>58</v>
      </c>
      <c r="P51" s="79">
        <v>160</v>
      </c>
      <c r="Q51" s="105">
        <f t="shared" si="0"/>
        <v>1.3333333333333333</v>
      </c>
      <c r="R51" s="73">
        <f t="shared" si="1"/>
        <v>16135</v>
      </c>
      <c r="S51" s="73"/>
      <c r="T51" s="79"/>
      <c r="U51" s="92">
        <v>2.7</v>
      </c>
      <c r="Y51" s="74">
        <v>40</v>
      </c>
      <c r="Z51" s="80">
        <v>45378</v>
      </c>
      <c r="AA51" s="74">
        <f t="shared" si="2"/>
        <v>180</v>
      </c>
      <c r="AB51" s="76">
        <f t="shared" si="3"/>
        <v>10735</v>
      </c>
      <c r="AC51" s="77" t="str">
        <f t="shared" si="4"/>
        <v>Mar 2024</v>
      </c>
      <c r="BG51" s="86"/>
      <c r="BH51" s="87">
        <f t="shared" si="5"/>
        <v>1.7361111111111105E-2</v>
      </c>
      <c r="BI51" s="88">
        <f t="shared" si="6"/>
        <v>2</v>
      </c>
      <c r="BJ51" s="88">
        <f t="shared" si="7"/>
        <v>0</v>
      </c>
      <c r="BQ51" s="69"/>
    </row>
    <row r="52" spans="2:69" x14ac:dyDescent="0.25">
      <c r="B52" s="79">
        <v>40</v>
      </c>
      <c r="C52" s="80">
        <v>45363</v>
      </c>
      <c r="D52" s="79" t="s">
        <v>59</v>
      </c>
      <c r="E52" s="79" t="s">
        <v>131</v>
      </c>
      <c r="F52" s="82">
        <v>1612.5</v>
      </c>
      <c r="G52" s="82">
        <v>1617</v>
      </c>
      <c r="H52" s="83">
        <v>0.4201388888888889</v>
      </c>
      <c r="I52" s="83">
        <v>0.43055555555555558</v>
      </c>
      <c r="J52" s="79" t="s">
        <v>130</v>
      </c>
      <c r="K52" s="79" t="s">
        <v>132</v>
      </c>
      <c r="L52" s="73">
        <v>130</v>
      </c>
      <c r="M52" s="79">
        <v>50</v>
      </c>
      <c r="N52" s="79" t="s">
        <v>43</v>
      </c>
      <c r="O52" s="79" t="s">
        <v>58</v>
      </c>
      <c r="P52" s="79">
        <v>170</v>
      </c>
      <c r="Q52" s="105">
        <f t="shared" si="0"/>
        <v>1.3076923076923077</v>
      </c>
      <c r="R52" s="73">
        <f t="shared" si="1"/>
        <v>16305</v>
      </c>
      <c r="S52" s="73"/>
      <c r="T52" s="79"/>
      <c r="U52" s="92">
        <v>3.4</v>
      </c>
      <c r="Y52" s="74">
        <v>41</v>
      </c>
      <c r="Z52" s="80">
        <v>45379</v>
      </c>
      <c r="AA52" s="74">
        <f t="shared" si="2"/>
        <v>-200</v>
      </c>
      <c r="AB52" s="76">
        <f t="shared" si="3"/>
        <v>10535</v>
      </c>
      <c r="AC52" s="77" t="str">
        <f t="shared" si="4"/>
        <v>Mar 2024</v>
      </c>
      <c r="BG52" s="86"/>
      <c r="BH52" s="87">
        <f t="shared" si="5"/>
        <v>1.0416666666666685E-2</v>
      </c>
      <c r="BI52" s="88">
        <f t="shared" si="6"/>
        <v>3</v>
      </c>
      <c r="BJ52" s="88">
        <f t="shared" si="7"/>
        <v>0</v>
      </c>
      <c r="BQ52" s="69"/>
    </row>
    <row r="53" spans="2:69" x14ac:dyDescent="0.25">
      <c r="B53" s="79">
        <v>41</v>
      </c>
      <c r="C53" s="80">
        <v>45366</v>
      </c>
      <c r="D53" s="79" t="s">
        <v>48</v>
      </c>
      <c r="E53" s="79" t="s">
        <v>136</v>
      </c>
      <c r="F53" s="82">
        <v>595.75</v>
      </c>
      <c r="G53" s="82">
        <v>600.5</v>
      </c>
      <c r="H53" s="83">
        <v>0.41319444444444442</v>
      </c>
      <c r="I53" s="83">
        <v>0.42708333333333331</v>
      </c>
      <c r="J53" s="79" t="s">
        <v>50</v>
      </c>
      <c r="K53" s="79" t="s">
        <v>135</v>
      </c>
      <c r="L53" s="73">
        <v>125</v>
      </c>
      <c r="M53" s="79">
        <v>40</v>
      </c>
      <c r="N53" s="79" t="s">
        <v>51</v>
      </c>
      <c r="O53" s="79" t="s">
        <v>52</v>
      </c>
      <c r="P53" s="79">
        <v>150</v>
      </c>
      <c r="Q53" s="105">
        <f t="shared" si="0"/>
        <v>-1.2</v>
      </c>
      <c r="R53" s="73">
        <f t="shared" si="1"/>
        <v>16455</v>
      </c>
      <c r="S53" s="73"/>
      <c r="T53" s="79"/>
      <c r="U53" s="92"/>
      <c r="Y53" s="74">
        <v>42</v>
      </c>
      <c r="Z53" s="80">
        <v>45380</v>
      </c>
      <c r="AA53" s="74">
        <f t="shared" si="2"/>
        <v>-150</v>
      </c>
      <c r="AB53" s="76">
        <f t="shared" si="3"/>
        <v>10385</v>
      </c>
      <c r="AC53" s="77" t="str">
        <f t="shared" si="4"/>
        <v>Mar 2024</v>
      </c>
      <c r="BG53" s="86"/>
      <c r="BH53" s="87">
        <f t="shared" si="5"/>
        <v>1.3888888888888895E-2</v>
      </c>
      <c r="BI53" s="88">
        <f t="shared" si="6"/>
        <v>0</v>
      </c>
      <c r="BJ53" s="88">
        <f t="shared" si="7"/>
        <v>1</v>
      </c>
      <c r="BQ53" s="69"/>
    </row>
    <row r="54" spans="2:69" x14ac:dyDescent="0.25">
      <c r="B54" s="79">
        <v>42</v>
      </c>
      <c r="C54" s="80">
        <v>45366</v>
      </c>
      <c r="D54" s="79" t="s">
        <v>48</v>
      </c>
      <c r="E54" s="79" t="s">
        <v>137</v>
      </c>
      <c r="F54" s="82">
        <v>9815</v>
      </c>
      <c r="G54" s="82">
        <v>9825</v>
      </c>
      <c r="H54" s="83">
        <v>0.41666666666666669</v>
      </c>
      <c r="I54" s="83">
        <v>0.43055555555555558</v>
      </c>
      <c r="J54" s="79" t="s">
        <v>130</v>
      </c>
      <c r="K54" s="79" t="s">
        <v>128</v>
      </c>
      <c r="L54" s="73">
        <v>130</v>
      </c>
      <c r="M54" s="79">
        <v>30</v>
      </c>
      <c r="N54" s="79" t="s">
        <v>43</v>
      </c>
      <c r="O54" s="79" t="s">
        <v>58</v>
      </c>
      <c r="P54" s="79">
        <v>160</v>
      </c>
      <c r="Q54" s="105">
        <f t="shared" si="0"/>
        <v>1.2307692307692308</v>
      </c>
      <c r="R54" s="73">
        <f t="shared" si="1"/>
        <v>16615</v>
      </c>
      <c r="S54" s="73"/>
      <c r="T54" s="79"/>
      <c r="U54" s="92"/>
      <c r="Y54" s="74">
        <v>43</v>
      </c>
      <c r="Z54" s="80">
        <v>45383</v>
      </c>
      <c r="AA54" s="74">
        <f t="shared" si="2"/>
        <v>-160</v>
      </c>
      <c r="AB54" s="76">
        <f t="shared" si="3"/>
        <v>10225</v>
      </c>
      <c r="AC54" s="77" t="str">
        <f t="shared" si="4"/>
        <v>Apr 2024</v>
      </c>
      <c r="BG54" s="86"/>
      <c r="BH54" s="87">
        <f t="shared" si="5"/>
        <v>1.3888888888888895E-2</v>
      </c>
      <c r="BI54" s="88">
        <f t="shared" si="6"/>
        <v>1</v>
      </c>
      <c r="BJ54" s="88">
        <f t="shared" si="7"/>
        <v>0</v>
      </c>
      <c r="BQ54" s="69"/>
    </row>
    <row r="55" spans="2:69" x14ac:dyDescent="0.25">
      <c r="B55" s="79">
        <v>43</v>
      </c>
      <c r="C55" s="80">
        <v>45367</v>
      </c>
      <c r="D55" s="79" t="s">
        <v>54</v>
      </c>
      <c r="E55" s="79" t="s">
        <v>134</v>
      </c>
      <c r="F55" s="82">
        <v>3372</v>
      </c>
      <c r="G55" s="82">
        <v>3383.5</v>
      </c>
      <c r="H55" s="83">
        <v>0.4201388888888889</v>
      </c>
      <c r="I55" s="83">
        <v>0.43055555555555558</v>
      </c>
      <c r="J55" s="79" t="s">
        <v>50</v>
      </c>
      <c r="K55" s="79" t="s">
        <v>132</v>
      </c>
      <c r="L55" s="73">
        <v>125</v>
      </c>
      <c r="M55" s="79">
        <v>35</v>
      </c>
      <c r="N55" s="79" t="s">
        <v>51</v>
      </c>
      <c r="O55" s="79" t="s">
        <v>52</v>
      </c>
      <c r="P55" s="79">
        <v>170</v>
      </c>
      <c r="Q55" s="105">
        <f t="shared" si="0"/>
        <v>-1.36</v>
      </c>
      <c r="R55" s="73">
        <f t="shared" si="1"/>
        <v>16785</v>
      </c>
      <c r="S55" s="73"/>
      <c r="T55" s="79"/>
      <c r="U55" s="92"/>
      <c r="Y55" s="74">
        <v>44</v>
      </c>
      <c r="Z55" s="80">
        <v>45384</v>
      </c>
      <c r="AA55" s="74">
        <f t="shared" si="2"/>
        <v>170</v>
      </c>
      <c r="AB55" s="76">
        <f t="shared" si="3"/>
        <v>10395</v>
      </c>
      <c r="AC55" s="77" t="str">
        <f t="shared" si="4"/>
        <v>Apr 2024</v>
      </c>
      <c r="BG55" s="86"/>
      <c r="BH55" s="87">
        <f t="shared" si="5"/>
        <v>1.0416666666666685E-2</v>
      </c>
      <c r="BI55" s="88">
        <f t="shared" si="6"/>
        <v>0</v>
      </c>
      <c r="BJ55" s="88">
        <f t="shared" si="7"/>
        <v>1</v>
      </c>
      <c r="BQ55" s="69"/>
    </row>
    <row r="56" spans="2:69" x14ac:dyDescent="0.25">
      <c r="B56" s="79">
        <v>44</v>
      </c>
      <c r="C56" s="80">
        <v>45368</v>
      </c>
      <c r="D56" s="79" t="s">
        <v>55</v>
      </c>
      <c r="E56" s="79" t="s">
        <v>133</v>
      </c>
      <c r="F56" s="82">
        <v>1518.75</v>
      </c>
      <c r="G56" s="82">
        <v>1523</v>
      </c>
      <c r="H56" s="83">
        <v>0.40972222222222227</v>
      </c>
      <c r="I56" s="83">
        <v>0.4236111111111111</v>
      </c>
      <c r="J56" s="79" t="s">
        <v>130</v>
      </c>
      <c r="K56" s="79" t="s">
        <v>135</v>
      </c>
      <c r="L56" s="73">
        <v>130</v>
      </c>
      <c r="M56" s="79">
        <v>30</v>
      </c>
      <c r="N56" s="79" t="s">
        <v>51</v>
      </c>
      <c r="O56" s="79" t="s">
        <v>52</v>
      </c>
      <c r="P56" s="79">
        <v>150</v>
      </c>
      <c r="Q56" s="105">
        <f t="shared" si="0"/>
        <v>-1.1538461538461537</v>
      </c>
      <c r="R56" s="73">
        <f t="shared" si="1"/>
        <v>16935</v>
      </c>
      <c r="S56" s="73"/>
      <c r="T56" s="79"/>
      <c r="U56" s="92"/>
      <c r="Y56" s="74">
        <v>45</v>
      </c>
      <c r="Z56" s="80">
        <v>45385</v>
      </c>
      <c r="AA56" s="74">
        <f t="shared" si="2"/>
        <v>180</v>
      </c>
      <c r="AB56" s="76">
        <f t="shared" si="3"/>
        <v>10575</v>
      </c>
      <c r="AC56" s="77" t="str">
        <f t="shared" si="4"/>
        <v>Apr 2024</v>
      </c>
      <c r="BG56" s="86"/>
      <c r="BH56" s="87">
        <f t="shared" si="5"/>
        <v>1.388888888888884E-2</v>
      </c>
      <c r="BI56" s="88">
        <f t="shared" si="6"/>
        <v>0</v>
      </c>
      <c r="BJ56" s="88">
        <f t="shared" si="7"/>
        <v>2</v>
      </c>
      <c r="BQ56" s="69"/>
    </row>
    <row r="57" spans="2:69" x14ac:dyDescent="0.25">
      <c r="B57" s="79">
        <v>45</v>
      </c>
      <c r="C57" s="80">
        <v>45369</v>
      </c>
      <c r="D57" s="79" t="s">
        <v>57</v>
      </c>
      <c r="E57" s="79" t="s">
        <v>129</v>
      </c>
      <c r="F57" s="82">
        <v>2310</v>
      </c>
      <c r="G57" s="82">
        <v>2315.25</v>
      </c>
      <c r="H57" s="83">
        <v>0.41666666666666669</v>
      </c>
      <c r="I57" s="83">
        <v>0.42708333333333331</v>
      </c>
      <c r="J57" s="79" t="s">
        <v>50</v>
      </c>
      <c r="K57" s="79" t="s">
        <v>128</v>
      </c>
      <c r="L57" s="73">
        <v>125</v>
      </c>
      <c r="M57" s="79">
        <v>40</v>
      </c>
      <c r="N57" s="79" t="s">
        <v>43</v>
      </c>
      <c r="O57" s="79" t="s">
        <v>56</v>
      </c>
      <c r="P57" s="79">
        <v>30</v>
      </c>
      <c r="Q57" s="105">
        <f t="shared" si="0"/>
        <v>0.24</v>
      </c>
      <c r="R57" s="73">
        <f t="shared" si="1"/>
        <v>16965</v>
      </c>
      <c r="S57" s="73"/>
      <c r="T57" s="79"/>
      <c r="U57" s="92"/>
      <c r="Y57" s="74">
        <v>46</v>
      </c>
      <c r="Z57" s="80">
        <v>45386</v>
      </c>
      <c r="AA57" s="74">
        <f t="shared" si="2"/>
        <v>160</v>
      </c>
      <c r="AB57" s="76">
        <f t="shared" si="3"/>
        <v>10735</v>
      </c>
      <c r="AC57" s="77" t="str">
        <f t="shared" si="4"/>
        <v>Apr 2024</v>
      </c>
      <c r="BG57" s="86"/>
      <c r="BH57" s="87">
        <f t="shared" si="5"/>
        <v>1.041666666666663E-2</v>
      </c>
      <c r="BI57" s="88">
        <f t="shared" si="6"/>
        <v>1</v>
      </c>
      <c r="BJ57" s="88">
        <f t="shared" si="7"/>
        <v>0</v>
      </c>
      <c r="BQ57" s="69"/>
    </row>
    <row r="58" spans="2:69" x14ac:dyDescent="0.25">
      <c r="B58" s="79">
        <v>46</v>
      </c>
      <c r="C58" s="80">
        <v>45370</v>
      </c>
      <c r="D58" s="79" t="s">
        <v>59</v>
      </c>
      <c r="E58" s="79" t="s">
        <v>49</v>
      </c>
      <c r="F58" s="82">
        <v>691.25</v>
      </c>
      <c r="G58" s="82">
        <v>693.5</v>
      </c>
      <c r="H58" s="83">
        <v>0.41319444444444442</v>
      </c>
      <c r="I58" s="83">
        <v>0.42708333333333331</v>
      </c>
      <c r="J58" s="79" t="s">
        <v>130</v>
      </c>
      <c r="K58" s="79" t="s">
        <v>132</v>
      </c>
      <c r="L58" s="73">
        <v>120</v>
      </c>
      <c r="M58" s="79">
        <v>40</v>
      </c>
      <c r="N58" s="79" t="s">
        <v>51</v>
      </c>
      <c r="O58" s="79" t="s">
        <v>52</v>
      </c>
      <c r="P58" s="79">
        <v>160</v>
      </c>
      <c r="Q58" s="105">
        <f t="shared" si="0"/>
        <v>-1.3333333333333333</v>
      </c>
      <c r="R58" s="73">
        <f t="shared" si="1"/>
        <v>17125</v>
      </c>
      <c r="S58" s="73"/>
      <c r="T58" s="79"/>
      <c r="U58" s="92"/>
      <c r="Y58" s="74">
        <v>47</v>
      </c>
      <c r="Z58" s="80">
        <v>45387</v>
      </c>
      <c r="AA58" s="74">
        <f t="shared" si="2"/>
        <v>150</v>
      </c>
      <c r="AB58" s="76">
        <f t="shared" si="3"/>
        <v>10885</v>
      </c>
      <c r="AC58" s="77" t="str">
        <f t="shared" si="4"/>
        <v>Apr 2024</v>
      </c>
      <c r="BG58" s="86"/>
      <c r="BH58" s="87">
        <f t="shared" si="5"/>
        <v>1.3888888888888895E-2</v>
      </c>
      <c r="BI58" s="88">
        <f t="shared" si="6"/>
        <v>0</v>
      </c>
      <c r="BJ58" s="88">
        <f t="shared" si="7"/>
        <v>1</v>
      </c>
      <c r="BQ58" s="69"/>
    </row>
    <row r="59" spans="2:69" x14ac:dyDescent="0.25">
      <c r="B59" s="79">
        <v>47</v>
      </c>
      <c r="C59" s="80">
        <v>45370</v>
      </c>
      <c r="D59" s="79" t="s">
        <v>59</v>
      </c>
      <c r="E59" s="79" t="s">
        <v>131</v>
      </c>
      <c r="F59" s="82">
        <v>1605.5</v>
      </c>
      <c r="G59" s="82">
        <v>1610</v>
      </c>
      <c r="H59" s="83">
        <v>0.40625</v>
      </c>
      <c r="I59" s="83">
        <v>0.41666666666666669</v>
      </c>
      <c r="J59" s="79" t="s">
        <v>50</v>
      </c>
      <c r="K59" s="79" t="s">
        <v>135</v>
      </c>
      <c r="L59" s="73">
        <v>125</v>
      </c>
      <c r="M59" s="79">
        <v>50</v>
      </c>
      <c r="N59" s="79" t="s">
        <v>43</v>
      </c>
      <c r="O59" s="79" t="s">
        <v>58</v>
      </c>
      <c r="P59" s="79">
        <v>180</v>
      </c>
      <c r="Q59" s="105">
        <f t="shared" si="0"/>
        <v>1.44</v>
      </c>
      <c r="R59" s="73">
        <f t="shared" si="1"/>
        <v>17305</v>
      </c>
      <c r="S59" s="73"/>
      <c r="T59" s="79"/>
      <c r="U59" s="92"/>
      <c r="Y59" s="74">
        <v>48</v>
      </c>
      <c r="Z59" s="80">
        <v>45390</v>
      </c>
      <c r="AA59" s="74">
        <f t="shared" si="2"/>
        <v>-170</v>
      </c>
      <c r="AB59" s="76">
        <f t="shared" si="3"/>
        <v>10715</v>
      </c>
      <c r="AC59" s="77" t="str">
        <f t="shared" si="4"/>
        <v>Apr 2024</v>
      </c>
      <c r="BG59" s="86"/>
      <c r="BH59" s="87">
        <f t="shared" si="5"/>
        <v>1.0416666666666685E-2</v>
      </c>
      <c r="BI59" s="88">
        <f t="shared" si="6"/>
        <v>1</v>
      </c>
      <c r="BJ59" s="88">
        <f t="shared" si="7"/>
        <v>0</v>
      </c>
      <c r="BQ59" s="69"/>
    </row>
    <row r="60" spans="2:69" x14ac:dyDescent="0.25">
      <c r="B60" s="79">
        <v>48</v>
      </c>
      <c r="C60" s="80">
        <v>45373</v>
      </c>
      <c r="D60" s="79" t="s">
        <v>48</v>
      </c>
      <c r="E60" s="79" t="s">
        <v>137</v>
      </c>
      <c r="F60" s="82">
        <v>9802.5</v>
      </c>
      <c r="G60" s="82">
        <v>9815</v>
      </c>
      <c r="H60" s="83">
        <v>0.4236111111111111</v>
      </c>
      <c r="I60" s="83">
        <v>0.43402777777777773</v>
      </c>
      <c r="J60" s="79" t="s">
        <v>130</v>
      </c>
      <c r="K60" s="79" t="s">
        <v>128</v>
      </c>
      <c r="L60" s="73">
        <v>130</v>
      </c>
      <c r="M60" s="79">
        <v>35</v>
      </c>
      <c r="N60" s="79" t="s">
        <v>43</v>
      </c>
      <c r="O60" s="79" t="s">
        <v>58</v>
      </c>
      <c r="P60" s="79">
        <v>150</v>
      </c>
      <c r="Q60" s="105">
        <f t="shared" si="0"/>
        <v>1.1538461538461537</v>
      </c>
      <c r="R60" s="73">
        <f t="shared" si="1"/>
        <v>17455</v>
      </c>
      <c r="S60" s="73"/>
      <c r="T60" s="79"/>
      <c r="U60" s="92">
        <v>4</v>
      </c>
      <c r="Y60" s="74">
        <v>49</v>
      </c>
      <c r="Z60" s="80">
        <v>45391</v>
      </c>
      <c r="AA60" s="74">
        <f t="shared" si="2"/>
        <v>150</v>
      </c>
      <c r="AB60" s="76">
        <f t="shared" si="3"/>
        <v>10865</v>
      </c>
      <c r="AC60" s="77" t="str">
        <f t="shared" si="4"/>
        <v>Apr 2024</v>
      </c>
      <c r="BG60" s="86"/>
      <c r="BH60" s="87">
        <f t="shared" si="5"/>
        <v>1.041666666666663E-2</v>
      </c>
      <c r="BI60" s="88">
        <f t="shared" si="6"/>
        <v>2</v>
      </c>
      <c r="BJ60" s="88">
        <f t="shared" si="7"/>
        <v>0</v>
      </c>
      <c r="BQ60" s="69"/>
    </row>
    <row r="61" spans="2:69" x14ac:dyDescent="0.25">
      <c r="B61" s="79">
        <v>49</v>
      </c>
      <c r="C61" s="80">
        <v>45373</v>
      </c>
      <c r="D61" s="79" t="s">
        <v>48</v>
      </c>
      <c r="E61" s="79" t="s">
        <v>134</v>
      </c>
      <c r="F61" s="82">
        <v>3375.5</v>
      </c>
      <c r="G61" s="82">
        <v>3385.75</v>
      </c>
      <c r="H61" s="83">
        <v>0.40972222222222227</v>
      </c>
      <c r="I61" s="83">
        <v>0.4236111111111111</v>
      </c>
      <c r="J61" s="79" t="s">
        <v>50</v>
      </c>
      <c r="K61" s="79" t="s">
        <v>132</v>
      </c>
      <c r="L61" s="73">
        <v>120</v>
      </c>
      <c r="M61" s="79">
        <v>40</v>
      </c>
      <c r="N61" s="79" t="s">
        <v>43</v>
      </c>
      <c r="O61" s="79" t="s">
        <v>56</v>
      </c>
      <c r="P61" s="79">
        <v>120</v>
      </c>
      <c r="Q61" s="105">
        <f t="shared" si="0"/>
        <v>1</v>
      </c>
      <c r="R61" s="73">
        <f t="shared" si="1"/>
        <v>17575</v>
      </c>
      <c r="S61" s="73"/>
      <c r="T61" s="79"/>
      <c r="U61" s="92">
        <v>3.6</v>
      </c>
      <c r="Y61" s="74">
        <v>50</v>
      </c>
      <c r="Z61" s="80">
        <v>45392</v>
      </c>
      <c r="AA61" s="74">
        <f t="shared" si="2"/>
        <v>-160</v>
      </c>
      <c r="AB61" s="76">
        <f t="shared" si="3"/>
        <v>10705</v>
      </c>
      <c r="AC61" s="77" t="str">
        <f t="shared" si="4"/>
        <v>Apr 2024</v>
      </c>
      <c r="BG61" s="86"/>
      <c r="BH61" s="87">
        <f t="shared" si="5"/>
        <v>1.388888888888884E-2</v>
      </c>
      <c r="BI61" s="88">
        <f t="shared" si="6"/>
        <v>3</v>
      </c>
      <c r="BJ61" s="88">
        <f t="shared" si="7"/>
        <v>0</v>
      </c>
      <c r="BQ61" s="69"/>
    </row>
    <row r="62" spans="2:69" x14ac:dyDescent="0.25">
      <c r="B62" s="79">
        <v>50</v>
      </c>
      <c r="C62" s="80">
        <v>45374</v>
      </c>
      <c r="D62" s="79" t="s">
        <v>54</v>
      </c>
      <c r="E62" s="79" t="s">
        <v>136</v>
      </c>
      <c r="F62" s="82">
        <v>595.5</v>
      </c>
      <c r="G62" s="82">
        <v>600</v>
      </c>
      <c r="H62" s="83">
        <v>0.4201388888888889</v>
      </c>
      <c r="I62" s="83">
        <v>0.43402777777777773</v>
      </c>
      <c r="J62" s="79" t="s">
        <v>130</v>
      </c>
      <c r="K62" s="79" t="s">
        <v>135</v>
      </c>
      <c r="L62" s="73">
        <v>130</v>
      </c>
      <c r="M62" s="79">
        <v>40</v>
      </c>
      <c r="N62" s="79" t="s">
        <v>43</v>
      </c>
      <c r="O62" s="79" t="s">
        <v>58</v>
      </c>
      <c r="P62" s="79">
        <v>160</v>
      </c>
      <c r="Q62" s="105">
        <f t="shared" si="0"/>
        <v>1.2307692307692308</v>
      </c>
      <c r="R62" s="73">
        <f t="shared" si="1"/>
        <v>17735</v>
      </c>
      <c r="S62" s="73"/>
      <c r="T62" s="79"/>
      <c r="U62" s="92">
        <v>3</v>
      </c>
      <c r="Y62" s="74">
        <v>51</v>
      </c>
      <c r="Z62" s="80">
        <v>45393</v>
      </c>
      <c r="AA62" s="74">
        <f t="shared" si="2"/>
        <v>170</v>
      </c>
      <c r="AB62" s="76">
        <f t="shared" si="3"/>
        <v>10875</v>
      </c>
      <c r="AC62" s="77" t="str">
        <f t="shared" si="4"/>
        <v>Apr 2024</v>
      </c>
      <c r="BG62" s="86"/>
      <c r="BH62" s="87">
        <f t="shared" si="5"/>
        <v>1.388888888888884E-2</v>
      </c>
      <c r="BI62" s="88">
        <f t="shared" si="6"/>
        <v>4</v>
      </c>
      <c r="BJ62" s="88">
        <f t="shared" si="7"/>
        <v>0</v>
      </c>
      <c r="BQ62" s="69"/>
    </row>
    <row r="63" spans="2:69" x14ac:dyDescent="0.25">
      <c r="B63" s="79">
        <v>51</v>
      </c>
      <c r="C63" s="80">
        <v>45376</v>
      </c>
      <c r="D63" s="79" t="s">
        <v>48</v>
      </c>
      <c r="E63" s="79" t="s">
        <v>134</v>
      </c>
      <c r="F63" s="82">
        <v>3385.75</v>
      </c>
      <c r="G63" s="82">
        <v>3400.5</v>
      </c>
      <c r="H63" s="83">
        <v>0.40625</v>
      </c>
      <c r="I63" s="83">
        <v>0.42708333333333331</v>
      </c>
      <c r="J63" s="79" t="s">
        <v>50</v>
      </c>
      <c r="K63" s="79" t="s">
        <v>128</v>
      </c>
      <c r="L63" s="73">
        <v>110</v>
      </c>
      <c r="M63" s="79">
        <v>40</v>
      </c>
      <c r="N63" s="79" t="s">
        <v>43</v>
      </c>
      <c r="O63" s="79" t="s">
        <v>56</v>
      </c>
      <c r="P63" s="79">
        <v>160</v>
      </c>
      <c r="Q63" s="105">
        <f t="shared" si="0"/>
        <v>1.4545454545454546</v>
      </c>
      <c r="R63" s="73">
        <f t="shared" si="1"/>
        <v>17895</v>
      </c>
      <c r="S63" s="73"/>
      <c r="T63" s="79"/>
      <c r="U63" s="92">
        <v>4</v>
      </c>
      <c r="Y63" s="74">
        <v>52</v>
      </c>
      <c r="Z63" s="80">
        <v>45394</v>
      </c>
      <c r="AA63" s="74">
        <f t="shared" si="2"/>
        <v>-160</v>
      </c>
      <c r="AB63" s="76">
        <f t="shared" si="3"/>
        <v>10715</v>
      </c>
      <c r="AC63" s="77" t="str">
        <f t="shared" si="4"/>
        <v>Apr 2024</v>
      </c>
      <c r="BG63" s="86"/>
      <c r="BH63" s="87">
        <f t="shared" si="5"/>
        <v>2.0833333333333315E-2</v>
      </c>
      <c r="BI63" s="88">
        <f t="shared" si="6"/>
        <v>5</v>
      </c>
      <c r="BJ63" s="88">
        <f t="shared" si="7"/>
        <v>0</v>
      </c>
      <c r="BQ63" s="69"/>
    </row>
    <row r="64" spans="2:69" x14ac:dyDescent="0.25">
      <c r="B64" s="79">
        <v>52</v>
      </c>
      <c r="C64" s="80">
        <v>45377</v>
      </c>
      <c r="D64" s="79" t="s">
        <v>54</v>
      </c>
      <c r="E64" s="79" t="s">
        <v>136</v>
      </c>
      <c r="F64" s="82">
        <v>600</v>
      </c>
      <c r="G64" s="82">
        <v>605</v>
      </c>
      <c r="H64" s="83">
        <v>0.41666666666666669</v>
      </c>
      <c r="I64" s="83">
        <v>0.43055555555555558</v>
      </c>
      <c r="J64" s="79" t="s">
        <v>130</v>
      </c>
      <c r="K64" s="79" t="s">
        <v>132</v>
      </c>
      <c r="L64" s="73">
        <v>125</v>
      </c>
      <c r="M64" s="79">
        <v>40</v>
      </c>
      <c r="N64" s="79" t="s">
        <v>43</v>
      </c>
      <c r="O64" s="79" t="s">
        <v>58</v>
      </c>
      <c r="P64" s="79">
        <v>170</v>
      </c>
      <c r="Q64" s="105">
        <f t="shared" si="0"/>
        <v>1.36</v>
      </c>
      <c r="R64" s="73">
        <f t="shared" si="1"/>
        <v>18065</v>
      </c>
      <c r="S64" s="73"/>
      <c r="T64" s="79"/>
      <c r="U64" s="92"/>
      <c r="Y64" s="74">
        <v>53</v>
      </c>
      <c r="Z64" s="80">
        <v>45397</v>
      </c>
      <c r="AA64" s="74">
        <f t="shared" si="2"/>
        <v>170</v>
      </c>
      <c r="AB64" s="76">
        <f t="shared" si="3"/>
        <v>10885</v>
      </c>
      <c r="AC64" s="77" t="str">
        <f t="shared" si="4"/>
        <v>Apr 2024</v>
      </c>
      <c r="BG64" s="86"/>
      <c r="BH64" s="87">
        <f t="shared" si="5"/>
        <v>1.3888888888888895E-2</v>
      </c>
      <c r="BI64" s="88">
        <f t="shared" si="6"/>
        <v>6</v>
      </c>
      <c r="BJ64" s="88">
        <f t="shared" si="7"/>
        <v>0</v>
      </c>
      <c r="BQ64" s="69"/>
    </row>
    <row r="65" spans="2:69" x14ac:dyDescent="0.25">
      <c r="B65" s="79">
        <v>53</v>
      </c>
      <c r="C65" s="80">
        <v>45378</v>
      </c>
      <c r="D65" s="79" t="s">
        <v>55</v>
      </c>
      <c r="E65" s="79" t="s">
        <v>139</v>
      </c>
      <c r="F65" s="82">
        <v>1235</v>
      </c>
      <c r="G65" s="82">
        <v>1240.25</v>
      </c>
      <c r="H65" s="83">
        <v>0.41319444444444442</v>
      </c>
      <c r="I65" s="83">
        <v>0.43402777777777773</v>
      </c>
      <c r="J65" s="79" t="s">
        <v>50</v>
      </c>
      <c r="K65" s="79" t="s">
        <v>135</v>
      </c>
      <c r="L65" s="73">
        <v>115</v>
      </c>
      <c r="M65" s="79">
        <v>40</v>
      </c>
      <c r="N65" s="79" t="s">
        <v>43</v>
      </c>
      <c r="O65" s="79" t="s">
        <v>58</v>
      </c>
      <c r="P65" s="79">
        <v>180</v>
      </c>
      <c r="Q65" s="105">
        <f t="shared" si="0"/>
        <v>1.5652173913043479</v>
      </c>
      <c r="R65" s="73">
        <f t="shared" si="1"/>
        <v>18245</v>
      </c>
      <c r="S65" s="73"/>
      <c r="T65" s="79"/>
      <c r="U65" s="92"/>
      <c r="Y65" s="74">
        <v>54</v>
      </c>
      <c r="Z65" s="80">
        <v>45398</v>
      </c>
      <c r="AA65" s="74">
        <f t="shared" si="2"/>
        <v>180</v>
      </c>
      <c r="AB65" s="76">
        <f t="shared" si="3"/>
        <v>11065</v>
      </c>
      <c r="AC65" s="77" t="str">
        <f t="shared" si="4"/>
        <v>Apr 2024</v>
      </c>
      <c r="BG65" s="86"/>
      <c r="BH65" s="87">
        <f t="shared" si="5"/>
        <v>2.0833333333333315E-2</v>
      </c>
      <c r="BI65" s="88">
        <f t="shared" si="6"/>
        <v>7</v>
      </c>
      <c r="BJ65" s="88">
        <f t="shared" si="7"/>
        <v>0</v>
      </c>
      <c r="BQ65" s="69"/>
    </row>
    <row r="66" spans="2:69" x14ac:dyDescent="0.25">
      <c r="B66" s="79">
        <v>54</v>
      </c>
      <c r="C66" s="80">
        <v>45379</v>
      </c>
      <c r="D66" s="79" t="s">
        <v>57</v>
      </c>
      <c r="E66" s="79" t="s">
        <v>140</v>
      </c>
      <c r="F66" s="82">
        <v>360.5</v>
      </c>
      <c r="G66" s="82">
        <v>365</v>
      </c>
      <c r="H66" s="83">
        <v>0.4201388888888889</v>
      </c>
      <c r="I66" s="83">
        <v>0.4375</v>
      </c>
      <c r="J66" s="79" t="s">
        <v>130</v>
      </c>
      <c r="K66" s="79" t="s">
        <v>128</v>
      </c>
      <c r="L66" s="73">
        <v>120</v>
      </c>
      <c r="M66" s="79">
        <v>40</v>
      </c>
      <c r="N66" s="79" t="s">
        <v>51</v>
      </c>
      <c r="O66" s="79" t="s">
        <v>52</v>
      </c>
      <c r="P66" s="79">
        <v>200</v>
      </c>
      <c r="Q66" s="105">
        <f t="shared" si="0"/>
        <v>-1.6666666666666667</v>
      </c>
      <c r="R66" s="73">
        <f t="shared" si="1"/>
        <v>18445</v>
      </c>
      <c r="S66" s="73"/>
      <c r="T66" s="79"/>
      <c r="U66" s="92"/>
      <c r="Y66" s="74">
        <v>55</v>
      </c>
      <c r="Z66" s="80">
        <v>45399</v>
      </c>
      <c r="AA66" s="74">
        <f t="shared" si="2"/>
        <v>-150</v>
      </c>
      <c r="AB66" s="76">
        <f t="shared" si="3"/>
        <v>10915</v>
      </c>
      <c r="AC66" s="77" t="str">
        <f t="shared" si="4"/>
        <v>Apr 2024</v>
      </c>
      <c r="BG66" s="86"/>
      <c r="BH66" s="87">
        <f t="shared" si="5"/>
        <v>1.7361111111111105E-2</v>
      </c>
      <c r="BI66" s="88">
        <f t="shared" si="6"/>
        <v>0</v>
      </c>
      <c r="BJ66" s="88">
        <f t="shared" si="7"/>
        <v>1</v>
      </c>
      <c r="BQ66" s="69"/>
    </row>
    <row r="67" spans="2:69" x14ac:dyDescent="0.25">
      <c r="B67" s="79">
        <v>55</v>
      </c>
      <c r="C67" s="80">
        <v>45380</v>
      </c>
      <c r="D67" s="79" t="s">
        <v>59</v>
      </c>
      <c r="E67" s="79" t="s">
        <v>141</v>
      </c>
      <c r="F67" s="82">
        <v>1475</v>
      </c>
      <c r="G67" s="82">
        <v>1480.5</v>
      </c>
      <c r="H67" s="83">
        <v>0.40972222222222227</v>
      </c>
      <c r="I67" s="83">
        <v>0.42708333333333331</v>
      </c>
      <c r="J67" s="79" t="s">
        <v>50</v>
      </c>
      <c r="K67" s="79" t="s">
        <v>132</v>
      </c>
      <c r="L67" s="73">
        <v>105</v>
      </c>
      <c r="M67" s="79">
        <v>40</v>
      </c>
      <c r="N67" s="79" t="s">
        <v>51</v>
      </c>
      <c r="O67" s="79" t="s">
        <v>52</v>
      </c>
      <c r="P67" s="79">
        <v>150</v>
      </c>
      <c r="Q67" s="105">
        <f t="shared" si="0"/>
        <v>-1.4285714285714286</v>
      </c>
      <c r="R67" s="73">
        <f t="shared" si="1"/>
        <v>18595</v>
      </c>
      <c r="S67" s="73"/>
      <c r="T67" s="79"/>
      <c r="U67" s="92"/>
      <c r="Y67" s="74">
        <v>56</v>
      </c>
      <c r="Z67" s="80">
        <v>45400</v>
      </c>
      <c r="AA67" s="74">
        <f t="shared" si="2"/>
        <v>160</v>
      </c>
      <c r="AB67" s="76">
        <f t="shared" si="3"/>
        <v>11075</v>
      </c>
      <c r="AC67" s="77" t="str">
        <f t="shared" si="4"/>
        <v>Apr 2024</v>
      </c>
      <c r="BG67" s="86"/>
      <c r="BH67" s="87">
        <f t="shared" si="5"/>
        <v>1.7361111111111049E-2</v>
      </c>
      <c r="BI67" s="88">
        <f t="shared" si="6"/>
        <v>0</v>
      </c>
      <c r="BJ67" s="88">
        <f t="shared" si="7"/>
        <v>2</v>
      </c>
      <c r="BQ67" s="69"/>
    </row>
    <row r="68" spans="2:69" x14ac:dyDescent="0.25">
      <c r="B68" s="79">
        <v>56</v>
      </c>
      <c r="C68" s="80">
        <v>45383</v>
      </c>
      <c r="D68" s="79" t="s">
        <v>48</v>
      </c>
      <c r="E68" s="79" t="s">
        <v>134</v>
      </c>
      <c r="F68" s="82">
        <v>3400.5</v>
      </c>
      <c r="G68" s="82">
        <v>3415</v>
      </c>
      <c r="H68" s="83">
        <v>0.40277777777777773</v>
      </c>
      <c r="I68" s="83">
        <v>0.4236111111111111</v>
      </c>
      <c r="J68" s="79" t="s">
        <v>130</v>
      </c>
      <c r="K68" s="79" t="s">
        <v>135</v>
      </c>
      <c r="L68" s="73">
        <v>130</v>
      </c>
      <c r="M68" s="79">
        <v>40</v>
      </c>
      <c r="N68" s="79" t="s">
        <v>51</v>
      </c>
      <c r="O68" s="79" t="s">
        <v>52</v>
      </c>
      <c r="P68" s="79">
        <v>160</v>
      </c>
      <c r="Q68" s="105">
        <f t="shared" si="0"/>
        <v>-1.2307692307692308</v>
      </c>
      <c r="R68" s="73">
        <f t="shared" si="1"/>
        <v>18755</v>
      </c>
      <c r="S68" s="73"/>
      <c r="T68" s="79"/>
      <c r="U68" s="92"/>
      <c r="Y68" s="74">
        <v>57</v>
      </c>
      <c r="Z68" s="80">
        <v>45401</v>
      </c>
      <c r="AA68" s="74">
        <f t="shared" si="2"/>
        <v>-170</v>
      </c>
      <c r="AB68" s="76">
        <f t="shared" si="3"/>
        <v>10905</v>
      </c>
      <c r="AC68" s="77" t="str">
        <f t="shared" si="4"/>
        <v>Apr 2024</v>
      </c>
      <c r="BG68" s="86"/>
      <c r="BH68" s="87">
        <f t="shared" si="5"/>
        <v>2.083333333333337E-2</v>
      </c>
      <c r="BI68" s="88">
        <f t="shared" si="6"/>
        <v>0</v>
      </c>
      <c r="BJ68" s="88">
        <f t="shared" si="7"/>
        <v>3</v>
      </c>
      <c r="BQ68" s="69"/>
    </row>
    <row r="69" spans="2:69" x14ac:dyDescent="0.25">
      <c r="B69" s="79">
        <v>57</v>
      </c>
      <c r="C69" s="80">
        <v>45384</v>
      </c>
      <c r="D69" s="79" t="s">
        <v>54</v>
      </c>
      <c r="E69" s="79" t="s">
        <v>136</v>
      </c>
      <c r="F69" s="82">
        <v>605</v>
      </c>
      <c r="G69" s="82">
        <v>610</v>
      </c>
      <c r="H69" s="83">
        <v>0.41666666666666669</v>
      </c>
      <c r="I69" s="83">
        <v>0.4375</v>
      </c>
      <c r="J69" s="79" t="s">
        <v>50</v>
      </c>
      <c r="K69" s="79" t="s">
        <v>128</v>
      </c>
      <c r="L69" s="73">
        <v>115</v>
      </c>
      <c r="M69" s="79">
        <v>40</v>
      </c>
      <c r="N69" s="79" t="s">
        <v>43</v>
      </c>
      <c r="O69" s="79" t="s">
        <v>58</v>
      </c>
      <c r="P69" s="79">
        <v>170</v>
      </c>
      <c r="Q69" s="105">
        <f t="shared" si="0"/>
        <v>1.4782608695652173</v>
      </c>
      <c r="R69" s="73">
        <f t="shared" si="1"/>
        <v>18925</v>
      </c>
      <c r="S69" s="73"/>
      <c r="T69" s="79"/>
      <c r="U69" s="92">
        <v>3</v>
      </c>
      <c r="Y69" s="74">
        <v>58</v>
      </c>
      <c r="Z69" s="80">
        <v>45404</v>
      </c>
      <c r="AA69" s="74">
        <f t="shared" si="2"/>
        <v>-150</v>
      </c>
      <c r="AB69" s="76">
        <f t="shared" si="3"/>
        <v>10755</v>
      </c>
      <c r="AC69" s="77" t="str">
        <f t="shared" si="4"/>
        <v>Apr 2024</v>
      </c>
      <c r="BG69" s="86"/>
      <c r="BH69" s="87">
        <f t="shared" si="5"/>
        <v>2.0833333333333315E-2</v>
      </c>
      <c r="BI69" s="88">
        <f t="shared" si="6"/>
        <v>1</v>
      </c>
      <c r="BJ69" s="88">
        <f t="shared" si="7"/>
        <v>0</v>
      </c>
      <c r="BQ69" s="69"/>
    </row>
    <row r="70" spans="2:69" x14ac:dyDescent="0.25">
      <c r="B70" s="79">
        <v>58</v>
      </c>
      <c r="C70" s="80">
        <v>45385</v>
      </c>
      <c r="D70" s="79" t="s">
        <v>55</v>
      </c>
      <c r="E70" s="79" t="s">
        <v>139</v>
      </c>
      <c r="F70" s="82">
        <v>1240.25</v>
      </c>
      <c r="G70" s="82">
        <v>1245</v>
      </c>
      <c r="H70" s="83">
        <v>0.40972222222222227</v>
      </c>
      <c r="I70" s="83">
        <v>0.43055555555555558</v>
      </c>
      <c r="J70" s="79" t="s">
        <v>130</v>
      </c>
      <c r="K70" s="79" t="s">
        <v>135</v>
      </c>
      <c r="L70" s="73">
        <v>120</v>
      </c>
      <c r="M70" s="79">
        <v>40</v>
      </c>
      <c r="N70" s="79" t="s">
        <v>43</v>
      </c>
      <c r="O70" s="79" t="s">
        <v>58</v>
      </c>
      <c r="P70" s="79">
        <v>180</v>
      </c>
      <c r="Q70" s="105">
        <f t="shared" si="0"/>
        <v>1.5</v>
      </c>
      <c r="R70" s="73">
        <f t="shared" si="1"/>
        <v>19105</v>
      </c>
      <c r="S70" s="73"/>
      <c r="T70" s="79"/>
      <c r="U70" s="92">
        <v>4</v>
      </c>
      <c r="Y70" s="74">
        <v>59</v>
      </c>
      <c r="Z70" s="80">
        <v>45405</v>
      </c>
      <c r="AA70" s="74">
        <f t="shared" si="2"/>
        <v>160</v>
      </c>
      <c r="AB70" s="76">
        <f t="shared" si="3"/>
        <v>10915</v>
      </c>
      <c r="AC70" s="77" t="str">
        <f t="shared" si="4"/>
        <v>Apr 2024</v>
      </c>
      <c r="BG70" s="86"/>
      <c r="BH70" s="87">
        <f t="shared" si="5"/>
        <v>2.0833333333333315E-2</v>
      </c>
      <c r="BI70" s="88">
        <f t="shared" si="6"/>
        <v>2</v>
      </c>
      <c r="BJ70" s="88">
        <f t="shared" si="7"/>
        <v>0</v>
      </c>
      <c r="BQ70" s="69"/>
    </row>
    <row r="71" spans="2:69" x14ac:dyDescent="0.25">
      <c r="B71" s="79">
        <v>59</v>
      </c>
      <c r="C71" s="80">
        <v>45386</v>
      </c>
      <c r="D71" s="79" t="s">
        <v>57</v>
      </c>
      <c r="E71" s="79" t="s">
        <v>140</v>
      </c>
      <c r="F71" s="82">
        <v>365</v>
      </c>
      <c r="G71" s="82">
        <v>368</v>
      </c>
      <c r="H71" s="83">
        <v>0.4201388888888889</v>
      </c>
      <c r="I71" s="83">
        <v>0.43402777777777773</v>
      </c>
      <c r="J71" s="79" t="s">
        <v>50</v>
      </c>
      <c r="K71" s="79" t="s">
        <v>128</v>
      </c>
      <c r="L71" s="73">
        <v>110</v>
      </c>
      <c r="M71" s="79">
        <v>40</v>
      </c>
      <c r="N71" s="79" t="s">
        <v>43</v>
      </c>
      <c r="O71" s="79" t="s">
        <v>58</v>
      </c>
      <c r="P71" s="79">
        <v>160</v>
      </c>
      <c r="Q71" s="105">
        <f t="shared" si="0"/>
        <v>1.4545454545454546</v>
      </c>
      <c r="R71" s="73">
        <f t="shared" si="1"/>
        <v>19265</v>
      </c>
      <c r="S71" s="73"/>
      <c r="T71" s="79"/>
      <c r="U71" s="92"/>
      <c r="Y71" s="74">
        <v>60</v>
      </c>
      <c r="Z71" s="80">
        <v>45406</v>
      </c>
      <c r="AA71" s="74">
        <f t="shared" si="2"/>
        <v>-170</v>
      </c>
      <c r="AB71" s="76">
        <f t="shared" si="3"/>
        <v>10745</v>
      </c>
      <c r="AC71" s="77" t="str">
        <f t="shared" si="4"/>
        <v>Apr 2024</v>
      </c>
      <c r="BG71" s="86"/>
      <c r="BH71" s="87">
        <f t="shared" si="5"/>
        <v>1.388888888888884E-2</v>
      </c>
      <c r="BI71" s="88">
        <f t="shared" si="6"/>
        <v>3</v>
      </c>
      <c r="BJ71" s="88">
        <f t="shared" si="7"/>
        <v>0</v>
      </c>
      <c r="BQ71" s="69"/>
    </row>
    <row r="72" spans="2:69" x14ac:dyDescent="0.25">
      <c r="B72" s="79">
        <v>60</v>
      </c>
      <c r="C72" s="80">
        <v>45387</v>
      </c>
      <c r="D72" s="79" t="s">
        <v>59</v>
      </c>
      <c r="E72" s="79" t="s">
        <v>141</v>
      </c>
      <c r="F72" s="82">
        <v>1480.5</v>
      </c>
      <c r="G72" s="82">
        <v>1490</v>
      </c>
      <c r="H72" s="83">
        <v>0.41319444444444442</v>
      </c>
      <c r="I72" s="83">
        <v>0.42708333333333331</v>
      </c>
      <c r="J72" s="79" t="s">
        <v>130</v>
      </c>
      <c r="K72" s="79" t="s">
        <v>132</v>
      </c>
      <c r="L72" s="73">
        <v>125</v>
      </c>
      <c r="M72" s="79">
        <v>40</v>
      </c>
      <c r="N72" s="79" t="s">
        <v>43</v>
      </c>
      <c r="O72" s="79" t="s">
        <v>58</v>
      </c>
      <c r="P72" s="79">
        <v>150</v>
      </c>
      <c r="Q72" s="105">
        <f t="shared" si="0"/>
        <v>1.2</v>
      </c>
      <c r="R72" s="73">
        <f t="shared" si="1"/>
        <v>19415</v>
      </c>
      <c r="S72" s="73"/>
      <c r="T72" s="79"/>
      <c r="U72" s="92"/>
      <c r="Y72" s="74">
        <v>61</v>
      </c>
      <c r="Z72" s="80">
        <v>45407</v>
      </c>
      <c r="AA72" s="74">
        <f t="shared" si="2"/>
        <v>150</v>
      </c>
      <c r="AB72" s="76">
        <f t="shared" si="3"/>
        <v>10895</v>
      </c>
      <c r="AC72" s="77" t="str">
        <f t="shared" si="4"/>
        <v>Apr 2024</v>
      </c>
      <c r="BG72" s="86"/>
      <c r="BH72" s="87">
        <f t="shared" si="5"/>
        <v>1.3888888888888895E-2</v>
      </c>
      <c r="BI72" s="88">
        <f t="shared" si="6"/>
        <v>4</v>
      </c>
      <c r="BJ72" s="88">
        <f t="shared" si="7"/>
        <v>0</v>
      </c>
      <c r="BQ72" s="69"/>
    </row>
    <row r="73" spans="2:69" x14ac:dyDescent="0.25">
      <c r="B73" s="79">
        <v>61</v>
      </c>
      <c r="C73" s="80">
        <v>45390</v>
      </c>
      <c r="D73" s="79" t="s">
        <v>48</v>
      </c>
      <c r="E73" s="79" t="s">
        <v>134</v>
      </c>
      <c r="F73" s="82">
        <v>3415</v>
      </c>
      <c r="G73" s="82">
        <v>3425</v>
      </c>
      <c r="H73" s="83">
        <v>0.40972222222222227</v>
      </c>
      <c r="I73" s="83">
        <v>0.4236111111111111</v>
      </c>
      <c r="J73" s="79" t="s">
        <v>50</v>
      </c>
      <c r="K73" s="79" t="s">
        <v>135</v>
      </c>
      <c r="L73" s="73">
        <v>120</v>
      </c>
      <c r="M73" s="79">
        <v>40</v>
      </c>
      <c r="N73" s="79" t="s">
        <v>51</v>
      </c>
      <c r="O73" s="79" t="s">
        <v>52</v>
      </c>
      <c r="P73" s="79">
        <v>170</v>
      </c>
      <c r="Q73" s="105">
        <f t="shared" si="0"/>
        <v>-1.4166666666666667</v>
      </c>
      <c r="R73" s="73">
        <f t="shared" si="1"/>
        <v>19585</v>
      </c>
      <c r="S73" s="73"/>
      <c r="T73" s="79"/>
      <c r="U73" s="92"/>
      <c r="Y73" s="74">
        <v>62</v>
      </c>
      <c r="Z73" s="80">
        <v>45408</v>
      </c>
      <c r="AA73" s="74">
        <f t="shared" si="2"/>
        <v>-170</v>
      </c>
      <c r="AB73" s="76">
        <f t="shared" si="3"/>
        <v>10725</v>
      </c>
      <c r="AC73" s="77" t="str">
        <f t="shared" si="4"/>
        <v>Apr 2024</v>
      </c>
      <c r="BG73" s="86"/>
      <c r="BH73" s="87">
        <f t="shared" si="5"/>
        <v>1.388888888888884E-2</v>
      </c>
      <c r="BI73" s="88">
        <f t="shared" si="6"/>
        <v>0</v>
      </c>
      <c r="BJ73" s="88">
        <f t="shared" si="7"/>
        <v>1</v>
      </c>
      <c r="BQ73" s="69"/>
    </row>
    <row r="74" spans="2:69" x14ac:dyDescent="0.25">
      <c r="B74" s="79">
        <v>62</v>
      </c>
      <c r="C74" s="80">
        <v>45391</v>
      </c>
      <c r="D74" s="79" t="s">
        <v>54</v>
      </c>
      <c r="E74" s="79" t="s">
        <v>136</v>
      </c>
      <c r="F74" s="82">
        <v>610</v>
      </c>
      <c r="G74" s="82">
        <v>615</v>
      </c>
      <c r="H74" s="83">
        <v>0.41666666666666669</v>
      </c>
      <c r="I74" s="83">
        <v>0.4375</v>
      </c>
      <c r="J74" s="79" t="s">
        <v>130</v>
      </c>
      <c r="K74" s="79" t="s">
        <v>128</v>
      </c>
      <c r="L74" s="73">
        <v>130</v>
      </c>
      <c r="M74" s="79">
        <v>40</v>
      </c>
      <c r="N74" s="79" t="s">
        <v>43</v>
      </c>
      <c r="O74" s="79" t="s">
        <v>58</v>
      </c>
      <c r="P74" s="79">
        <v>150</v>
      </c>
      <c r="Q74" s="105">
        <f t="shared" si="0"/>
        <v>1.1538461538461537</v>
      </c>
      <c r="R74" s="73">
        <f t="shared" si="1"/>
        <v>19735</v>
      </c>
      <c r="S74" s="73"/>
      <c r="T74" s="79"/>
      <c r="U74" s="92"/>
      <c r="Y74" s="74">
        <v>63</v>
      </c>
      <c r="Z74" s="80">
        <v>45411</v>
      </c>
      <c r="AA74" s="74">
        <f t="shared" si="2"/>
        <v>-160</v>
      </c>
      <c r="AB74" s="76">
        <f t="shared" si="3"/>
        <v>10565</v>
      </c>
      <c r="AC74" s="77" t="str">
        <f t="shared" si="4"/>
        <v>Apr 2024</v>
      </c>
      <c r="BG74" s="86"/>
      <c r="BH74" s="87">
        <f t="shared" si="5"/>
        <v>2.0833333333333315E-2</v>
      </c>
      <c r="BI74" s="88">
        <f t="shared" si="6"/>
        <v>1</v>
      </c>
      <c r="BJ74" s="88">
        <f t="shared" si="7"/>
        <v>0</v>
      </c>
      <c r="BQ74" s="69"/>
    </row>
    <row r="75" spans="2:69" x14ac:dyDescent="0.25">
      <c r="B75" s="79">
        <v>63</v>
      </c>
      <c r="C75" s="80">
        <v>45392</v>
      </c>
      <c r="D75" s="79" t="s">
        <v>55</v>
      </c>
      <c r="E75" s="79" t="s">
        <v>139</v>
      </c>
      <c r="F75" s="82">
        <v>1245</v>
      </c>
      <c r="G75" s="82">
        <v>1255</v>
      </c>
      <c r="H75" s="83">
        <v>0.41319444444444442</v>
      </c>
      <c r="I75" s="83">
        <v>0.43402777777777773</v>
      </c>
      <c r="J75" s="79" t="s">
        <v>50</v>
      </c>
      <c r="K75" s="79" t="s">
        <v>132</v>
      </c>
      <c r="L75" s="73">
        <v>115</v>
      </c>
      <c r="M75" s="79">
        <v>40</v>
      </c>
      <c r="N75" s="79" t="s">
        <v>51</v>
      </c>
      <c r="O75" s="79" t="s">
        <v>52</v>
      </c>
      <c r="P75" s="79">
        <v>160</v>
      </c>
      <c r="Q75" s="105">
        <f t="shared" si="0"/>
        <v>-1.3913043478260869</v>
      </c>
      <c r="R75" s="73">
        <f t="shared" si="1"/>
        <v>19895</v>
      </c>
      <c r="S75" s="73"/>
      <c r="T75" s="79"/>
      <c r="U75" s="92"/>
      <c r="Y75" s="74">
        <v>64</v>
      </c>
      <c r="Z75" s="80">
        <v>45412</v>
      </c>
      <c r="AA75" s="74">
        <f t="shared" si="2"/>
        <v>-180</v>
      </c>
      <c r="AB75" s="76">
        <f t="shared" si="3"/>
        <v>10385</v>
      </c>
      <c r="AC75" s="77" t="str">
        <f t="shared" si="4"/>
        <v>Apr 2024</v>
      </c>
      <c r="BG75" s="86"/>
      <c r="BH75" s="87">
        <f t="shared" si="5"/>
        <v>2.0833333333333315E-2</v>
      </c>
      <c r="BI75" s="88">
        <f t="shared" si="6"/>
        <v>0</v>
      </c>
      <c r="BJ75" s="88">
        <f t="shared" si="7"/>
        <v>1</v>
      </c>
      <c r="BQ75" s="69"/>
    </row>
    <row r="76" spans="2:69" x14ac:dyDescent="0.25">
      <c r="B76" s="79">
        <v>64</v>
      </c>
      <c r="C76" s="80">
        <v>45393</v>
      </c>
      <c r="D76" s="79" t="s">
        <v>57</v>
      </c>
      <c r="E76" s="79" t="s">
        <v>140</v>
      </c>
      <c r="F76" s="82">
        <v>368</v>
      </c>
      <c r="G76" s="82">
        <v>370.5</v>
      </c>
      <c r="H76" s="83">
        <v>0.4236111111111111</v>
      </c>
      <c r="I76" s="83">
        <v>0.4375</v>
      </c>
      <c r="J76" s="79" t="s">
        <v>130</v>
      </c>
      <c r="K76" s="79" t="s">
        <v>135</v>
      </c>
      <c r="L76" s="73">
        <v>125</v>
      </c>
      <c r="M76" s="79">
        <v>40</v>
      </c>
      <c r="N76" s="79" t="s">
        <v>43</v>
      </c>
      <c r="O76" s="79" t="s">
        <v>58</v>
      </c>
      <c r="P76" s="79">
        <v>170</v>
      </c>
      <c r="Q76" s="105">
        <f t="shared" si="0"/>
        <v>1.36</v>
      </c>
      <c r="R76" s="73">
        <f t="shared" si="1"/>
        <v>20065</v>
      </c>
      <c r="S76" s="73"/>
      <c r="T76" s="79"/>
      <c r="U76" s="92"/>
      <c r="Y76" s="74">
        <v>65</v>
      </c>
      <c r="Z76" s="80">
        <v>45413</v>
      </c>
      <c r="AA76" s="74">
        <f t="shared" si="2"/>
        <v>150</v>
      </c>
      <c r="AB76" s="76">
        <f t="shared" si="3"/>
        <v>10535</v>
      </c>
      <c r="AC76" s="77" t="str">
        <f t="shared" si="4"/>
        <v>May 2024</v>
      </c>
      <c r="BG76" s="86"/>
      <c r="BH76" s="87">
        <f t="shared" si="5"/>
        <v>1.3888888888888895E-2</v>
      </c>
      <c r="BI76" s="88">
        <f t="shared" si="6"/>
        <v>1</v>
      </c>
      <c r="BJ76" s="88">
        <f t="shared" si="7"/>
        <v>0</v>
      </c>
      <c r="BQ76" s="69"/>
    </row>
    <row r="77" spans="2:69" x14ac:dyDescent="0.25">
      <c r="B77" s="79">
        <v>65</v>
      </c>
      <c r="C77" s="80">
        <v>45394</v>
      </c>
      <c r="D77" s="79" t="s">
        <v>59</v>
      </c>
      <c r="E77" s="79" t="s">
        <v>141</v>
      </c>
      <c r="F77" s="82">
        <v>1490</v>
      </c>
      <c r="G77" s="82">
        <v>1495.5</v>
      </c>
      <c r="H77" s="83">
        <v>0.41319444444444442</v>
      </c>
      <c r="I77" s="83">
        <v>0.42708333333333331</v>
      </c>
      <c r="J77" s="79" t="s">
        <v>50</v>
      </c>
      <c r="K77" s="79" t="s">
        <v>128</v>
      </c>
      <c r="L77" s="73">
        <v>110</v>
      </c>
      <c r="M77" s="79">
        <v>40</v>
      </c>
      <c r="N77" s="79" t="s">
        <v>51</v>
      </c>
      <c r="O77" s="79" t="s">
        <v>52</v>
      </c>
      <c r="P77" s="79">
        <v>160</v>
      </c>
      <c r="Q77" s="105">
        <f t="shared" ref="Q77:Q132" si="8">IF(N77="W", P77/L77, -ABS(P77/L77))</f>
        <v>-1.4545454545454546</v>
      </c>
      <c r="R77" s="73">
        <f t="shared" ref="R77:R132" si="9">IF(N77="L",R76+P77,IF(N77 ="w",R76+P77))</f>
        <v>20225</v>
      </c>
      <c r="S77" s="73"/>
      <c r="T77" s="79"/>
      <c r="U77" s="92"/>
      <c r="Y77" s="74">
        <v>66</v>
      </c>
      <c r="Z77" s="80">
        <v>45414</v>
      </c>
      <c r="AA77" s="74">
        <f t="shared" ref="AA77:AA118" si="10">SUMIFS($P$13:$P$1048576, $C$13:$C$1048576, Z77, $N$13:$N$1048576, "W") - SUMIFS($P$13:$P$1048576, $C$13:$C$1048576, Z77, $N$13:$N$1048576, "L")</f>
        <v>170</v>
      </c>
      <c r="AB77" s="76">
        <f t="shared" ref="AB77:AB118" si="11">AB76+AA77</f>
        <v>10705</v>
      </c>
      <c r="AC77" s="77" t="str">
        <f t="shared" ref="AC77:AC118" si="12">TEXT(Z77,"mmM yyyy")</f>
        <v>May 2024</v>
      </c>
      <c r="BG77" s="86"/>
      <c r="BH77" s="87">
        <f t="shared" si="5"/>
        <v>1.3888888888888895E-2</v>
      </c>
      <c r="BI77" s="88">
        <f t="shared" si="6"/>
        <v>0</v>
      </c>
      <c r="BJ77" s="88">
        <f t="shared" si="7"/>
        <v>1</v>
      </c>
      <c r="BQ77" s="69"/>
    </row>
    <row r="78" spans="2:69" x14ac:dyDescent="0.25">
      <c r="B78" s="79">
        <v>66</v>
      </c>
      <c r="C78" s="80">
        <v>45397</v>
      </c>
      <c r="D78" s="79" t="s">
        <v>48</v>
      </c>
      <c r="E78" s="79" t="s">
        <v>134</v>
      </c>
      <c r="F78" s="82">
        <v>3425</v>
      </c>
      <c r="G78" s="82">
        <v>3430.5</v>
      </c>
      <c r="H78" s="83">
        <v>0.40625</v>
      </c>
      <c r="I78" s="83">
        <v>0.4201388888888889</v>
      </c>
      <c r="J78" s="79" t="s">
        <v>130</v>
      </c>
      <c r="K78" s="79" t="s">
        <v>132</v>
      </c>
      <c r="L78" s="73">
        <v>120</v>
      </c>
      <c r="M78" s="79">
        <v>40</v>
      </c>
      <c r="N78" s="79" t="s">
        <v>43</v>
      </c>
      <c r="O78" s="79" t="s">
        <v>58</v>
      </c>
      <c r="P78" s="79">
        <v>170</v>
      </c>
      <c r="Q78" s="105">
        <f t="shared" si="8"/>
        <v>1.4166666666666667</v>
      </c>
      <c r="R78" s="73">
        <f t="shared" si="9"/>
        <v>20395</v>
      </c>
      <c r="S78" s="73"/>
      <c r="T78" s="79"/>
      <c r="U78" s="92"/>
      <c r="Y78" s="74">
        <v>67</v>
      </c>
      <c r="Z78" s="80">
        <v>45415</v>
      </c>
      <c r="AA78" s="74">
        <f t="shared" si="10"/>
        <v>160</v>
      </c>
      <c r="AB78" s="76">
        <f t="shared" si="11"/>
        <v>10865</v>
      </c>
      <c r="AC78" s="77" t="str">
        <f t="shared" si="12"/>
        <v>May 2024</v>
      </c>
      <c r="BG78" s="86"/>
      <c r="BH78" s="87">
        <f t="shared" ref="BH78:BH141" si="13">$I78-$H78</f>
        <v>1.3888888888888895E-2</v>
      </c>
      <c r="BI78" s="88">
        <f t="shared" ref="BI78:BI141" si="14">IF($N78="W", IF(ROW()=1, 1, BI77+1), 0)</f>
        <v>1</v>
      </c>
      <c r="BJ78" s="88">
        <f t="shared" ref="BJ78:BJ141" si="15">IF($N78="l", IF(ROW()=1, 1, BJ77+1), 0)</f>
        <v>0</v>
      </c>
      <c r="BQ78" s="69"/>
    </row>
    <row r="79" spans="2:69" x14ac:dyDescent="0.25">
      <c r="B79" s="79">
        <v>67</v>
      </c>
      <c r="C79" s="80">
        <v>45398</v>
      </c>
      <c r="D79" s="79" t="s">
        <v>54</v>
      </c>
      <c r="E79" s="79" t="s">
        <v>136</v>
      </c>
      <c r="F79" s="82">
        <v>615</v>
      </c>
      <c r="G79" s="82">
        <v>620</v>
      </c>
      <c r="H79" s="83">
        <v>0.41666666666666669</v>
      </c>
      <c r="I79" s="83">
        <v>0.43055555555555558</v>
      </c>
      <c r="J79" s="79" t="s">
        <v>50</v>
      </c>
      <c r="K79" s="79" t="s">
        <v>128</v>
      </c>
      <c r="L79" s="73">
        <v>125</v>
      </c>
      <c r="M79" s="79">
        <v>40</v>
      </c>
      <c r="N79" s="79" t="s">
        <v>43</v>
      </c>
      <c r="O79" s="79" t="s">
        <v>58</v>
      </c>
      <c r="P79" s="79">
        <v>180</v>
      </c>
      <c r="Q79" s="105">
        <f t="shared" si="8"/>
        <v>1.44</v>
      </c>
      <c r="R79" s="73">
        <f t="shared" si="9"/>
        <v>20575</v>
      </c>
      <c r="S79" s="73"/>
      <c r="T79" s="79"/>
      <c r="U79" s="92"/>
      <c r="Y79" s="74">
        <v>68</v>
      </c>
      <c r="Z79" s="80">
        <v>45418</v>
      </c>
      <c r="AA79" s="74">
        <f t="shared" si="10"/>
        <v>-160</v>
      </c>
      <c r="AB79" s="76">
        <f t="shared" si="11"/>
        <v>10705</v>
      </c>
      <c r="AC79" s="77" t="str">
        <f t="shared" si="12"/>
        <v>May 2024</v>
      </c>
      <c r="BG79" s="86"/>
      <c r="BH79" s="87">
        <f t="shared" si="13"/>
        <v>1.3888888888888895E-2</v>
      </c>
      <c r="BI79" s="88">
        <f t="shared" si="14"/>
        <v>2</v>
      </c>
      <c r="BJ79" s="88">
        <f t="shared" si="15"/>
        <v>0</v>
      </c>
      <c r="BQ79" s="69"/>
    </row>
    <row r="80" spans="2:69" x14ac:dyDescent="0.25">
      <c r="B80" s="79">
        <v>68</v>
      </c>
      <c r="C80" s="80">
        <v>45399</v>
      </c>
      <c r="D80" s="79" t="s">
        <v>55</v>
      </c>
      <c r="E80" s="79" t="s">
        <v>139</v>
      </c>
      <c r="F80" s="82">
        <v>1255</v>
      </c>
      <c r="G80" s="82">
        <v>1260.5</v>
      </c>
      <c r="H80" s="83">
        <v>0.40972222222222227</v>
      </c>
      <c r="I80" s="83">
        <v>0.4236111111111111</v>
      </c>
      <c r="J80" s="79" t="s">
        <v>130</v>
      </c>
      <c r="K80" s="79" t="s">
        <v>135</v>
      </c>
      <c r="L80" s="73">
        <v>130</v>
      </c>
      <c r="M80" s="79">
        <v>40</v>
      </c>
      <c r="N80" s="79" t="s">
        <v>51</v>
      </c>
      <c r="O80" s="79" t="s">
        <v>52</v>
      </c>
      <c r="P80" s="79">
        <v>150</v>
      </c>
      <c r="Q80" s="105">
        <f t="shared" si="8"/>
        <v>-1.1538461538461537</v>
      </c>
      <c r="R80" s="73">
        <f t="shared" si="9"/>
        <v>20725</v>
      </c>
      <c r="S80" s="73"/>
      <c r="T80" s="79"/>
      <c r="U80" s="92"/>
      <c r="Y80" s="74">
        <v>69</v>
      </c>
      <c r="Z80" s="80">
        <v>45419</v>
      </c>
      <c r="AA80" s="74">
        <f t="shared" si="10"/>
        <v>-170</v>
      </c>
      <c r="AB80" s="76">
        <f t="shared" si="11"/>
        <v>10535</v>
      </c>
      <c r="AC80" s="77" t="str">
        <f t="shared" si="12"/>
        <v>May 2024</v>
      </c>
      <c r="BG80" s="86"/>
      <c r="BH80" s="87">
        <f t="shared" si="13"/>
        <v>1.388888888888884E-2</v>
      </c>
      <c r="BI80" s="88">
        <f t="shared" si="14"/>
        <v>0</v>
      </c>
      <c r="BJ80" s="88">
        <f t="shared" si="15"/>
        <v>1</v>
      </c>
      <c r="BQ80" s="69"/>
    </row>
    <row r="81" spans="2:69" x14ac:dyDescent="0.25">
      <c r="B81" s="79">
        <v>69</v>
      </c>
      <c r="C81" s="80">
        <v>45400</v>
      </c>
      <c r="D81" s="79" t="s">
        <v>57</v>
      </c>
      <c r="E81" s="79" t="s">
        <v>140</v>
      </c>
      <c r="F81" s="82">
        <v>370.5</v>
      </c>
      <c r="G81" s="82">
        <v>375</v>
      </c>
      <c r="H81" s="83">
        <v>0.41319444444444442</v>
      </c>
      <c r="I81" s="83">
        <v>0.42708333333333331</v>
      </c>
      <c r="J81" s="79" t="s">
        <v>50</v>
      </c>
      <c r="K81" s="79" t="s">
        <v>132</v>
      </c>
      <c r="L81" s="73">
        <v>110</v>
      </c>
      <c r="M81" s="79">
        <v>40</v>
      </c>
      <c r="N81" s="79" t="s">
        <v>43</v>
      </c>
      <c r="O81" s="79" t="s">
        <v>58</v>
      </c>
      <c r="P81" s="79">
        <v>160</v>
      </c>
      <c r="Q81" s="105">
        <f t="shared" si="8"/>
        <v>1.4545454545454546</v>
      </c>
      <c r="R81" s="73">
        <f t="shared" si="9"/>
        <v>20885</v>
      </c>
      <c r="S81" s="73"/>
      <c r="T81" s="79"/>
      <c r="U81" s="92"/>
      <c r="Y81" s="74">
        <v>70</v>
      </c>
      <c r="Z81" s="80">
        <v>45420</v>
      </c>
      <c r="AA81" s="74">
        <f t="shared" si="10"/>
        <v>-180</v>
      </c>
      <c r="AB81" s="76">
        <f t="shared" si="11"/>
        <v>10355</v>
      </c>
      <c r="AC81" s="77" t="str">
        <f t="shared" si="12"/>
        <v>May 2024</v>
      </c>
      <c r="BG81" s="86"/>
      <c r="BH81" s="87">
        <f t="shared" si="13"/>
        <v>1.3888888888888895E-2</v>
      </c>
      <c r="BI81" s="88">
        <f t="shared" si="14"/>
        <v>1</v>
      </c>
      <c r="BJ81" s="88">
        <f t="shared" si="15"/>
        <v>0</v>
      </c>
      <c r="BQ81" s="69"/>
    </row>
    <row r="82" spans="2:69" x14ac:dyDescent="0.25">
      <c r="B82" s="79">
        <v>70</v>
      </c>
      <c r="C82" s="80">
        <v>45401</v>
      </c>
      <c r="D82" s="79" t="s">
        <v>59</v>
      </c>
      <c r="E82" s="79" t="s">
        <v>141</v>
      </c>
      <c r="F82" s="82">
        <v>1495.5</v>
      </c>
      <c r="G82" s="82">
        <v>1500</v>
      </c>
      <c r="H82" s="83">
        <v>0.41666666666666669</v>
      </c>
      <c r="I82" s="83">
        <v>0.4375</v>
      </c>
      <c r="J82" s="79" t="s">
        <v>130</v>
      </c>
      <c r="K82" s="79" t="s">
        <v>128</v>
      </c>
      <c r="L82" s="73">
        <v>120</v>
      </c>
      <c r="M82" s="79">
        <v>40</v>
      </c>
      <c r="N82" s="79" t="s">
        <v>51</v>
      </c>
      <c r="O82" s="79" t="s">
        <v>52</v>
      </c>
      <c r="P82" s="79">
        <v>170</v>
      </c>
      <c r="Q82" s="105">
        <f t="shared" si="8"/>
        <v>-1.4166666666666667</v>
      </c>
      <c r="R82" s="73">
        <f t="shared" si="9"/>
        <v>21055</v>
      </c>
      <c r="S82" s="73"/>
      <c r="T82" s="79"/>
      <c r="U82" s="92"/>
      <c r="Y82" s="74">
        <v>71</v>
      </c>
      <c r="Z82" s="80">
        <v>45421</v>
      </c>
      <c r="AA82" s="74">
        <f t="shared" si="10"/>
        <v>200</v>
      </c>
      <c r="AB82" s="76">
        <f t="shared" si="11"/>
        <v>10555</v>
      </c>
      <c r="AC82" s="77" t="str">
        <f t="shared" si="12"/>
        <v>May 2024</v>
      </c>
      <c r="BG82" s="86"/>
      <c r="BH82" s="87">
        <f t="shared" si="13"/>
        <v>2.0833333333333315E-2</v>
      </c>
      <c r="BI82" s="88">
        <f t="shared" si="14"/>
        <v>0</v>
      </c>
      <c r="BJ82" s="88">
        <f t="shared" si="15"/>
        <v>1</v>
      </c>
      <c r="BQ82" s="69"/>
    </row>
    <row r="83" spans="2:69" x14ac:dyDescent="0.25">
      <c r="B83" s="79">
        <v>71</v>
      </c>
      <c r="C83" s="80">
        <v>45404</v>
      </c>
      <c r="D83" s="79" t="s">
        <v>48</v>
      </c>
      <c r="E83" s="79" t="s">
        <v>134</v>
      </c>
      <c r="F83" s="82">
        <v>3430.5</v>
      </c>
      <c r="G83" s="82">
        <v>3440</v>
      </c>
      <c r="H83" s="83">
        <v>0.40625</v>
      </c>
      <c r="I83" s="83">
        <v>0.4201388888888889</v>
      </c>
      <c r="J83" s="79" t="s">
        <v>50</v>
      </c>
      <c r="K83" s="79" t="s">
        <v>135</v>
      </c>
      <c r="L83" s="73">
        <v>130</v>
      </c>
      <c r="M83" s="79">
        <v>40</v>
      </c>
      <c r="N83" s="79" t="s">
        <v>51</v>
      </c>
      <c r="O83" s="79" t="s">
        <v>52</v>
      </c>
      <c r="P83" s="74">
        <v>150</v>
      </c>
      <c r="Q83" s="105">
        <f t="shared" si="8"/>
        <v>-1.1538461538461537</v>
      </c>
      <c r="R83" s="73">
        <f t="shared" si="9"/>
        <v>21205</v>
      </c>
      <c r="S83" s="73"/>
      <c r="T83" s="79"/>
      <c r="U83" s="92"/>
      <c r="Y83" s="74">
        <v>72</v>
      </c>
      <c r="Z83" s="80">
        <v>45422</v>
      </c>
      <c r="AA83" s="74">
        <f t="shared" si="10"/>
        <v>150</v>
      </c>
      <c r="AB83" s="76">
        <f t="shared" si="11"/>
        <v>10705</v>
      </c>
      <c r="AC83" s="77" t="str">
        <f t="shared" si="12"/>
        <v>May 2024</v>
      </c>
      <c r="BG83" s="86"/>
      <c r="BH83" s="87">
        <f t="shared" si="13"/>
        <v>1.3888888888888895E-2</v>
      </c>
      <c r="BI83" s="88">
        <f t="shared" si="14"/>
        <v>0</v>
      </c>
      <c r="BJ83" s="88">
        <f t="shared" si="15"/>
        <v>2</v>
      </c>
      <c r="BQ83" s="69"/>
    </row>
    <row r="84" spans="2:69" x14ac:dyDescent="0.25">
      <c r="B84" s="74">
        <v>72</v>
      </c>
      <c r="C84" s="80">
        <v>45405</v>
      </c>
      <c r="D84" s="74" t="s">
        <v>54</v>
      </c>
      <c r="E84" s="74" t="s">
        <v>136</v>
      </c>
      <c r="F84" s="82">
        <v>620</v>
      </c>
      <c r="G84" s="82">
        <v>625</v>
      </c>
      <c r="H84" s="83">
        <v>0.4236111111111111</v>
      </c>
      <c r="I84" s="83">
        <v>0.4375</v>
      </c>
      <c r="J84" s="74" t="s">
        <v>130</v>
      </c>
      <c r="K84" s="74" t="s">
        <v>128</v>
      </c>
      <c r="L84" s="73">
        <v>125</v>
      </c>
      <c r="M84" s="74">
        <v>40</v>
      </c>
      <c r="N84" s="74" t="s">
        <v>43</v>
      </c>
      <c r="O84" s="74" t="s">
        <v>58</v>
      </c>
      <c r="P84" s="74">
        <v>160</v>
      </c>
      <c r="Q84" s="105">
        <f t="shared" si="8"/>
        <v>1.28</v>
      </c>
      <c r="R84" s="73">
        <f t="shared" si="9"/>
        <v>21365</v>
      </c>
      <c r="S84" s="73"/>
      <c r="T84" s="79"/>
      <c r="U84" s="92"/>
      <c r="Y84" s="74">
        <v>73</v>
      </c>
      <c r="Z84" s="80">
        <v>45425</v>
      </c>
      <c r="AA84" s="74">
        <f t="shared" si="10"/>
        <v>160</v>
      </c>
      <c r="AB84" s="76">
        <f t="shared" si="11"/>
        <v>10865</v>
      </c>
      <c r="AC84" s="77" t="str">
        <f t="shared" si="12"/>
        <v>May 2024</v>
      </c>
      <c r="BG84" s="86"/>
      <c r="BH84" s="87">
        <f t="shared" si="13"/>
        <v>1.3888888888888895E-2</v>
      </c>
      <c r="BI84" s="88">
        <f t="shared" si="14"/>
        <v>1</v>
      </c>
      <c r="BJ84" s="88">
        <f t="shared" si="15"/>
        <v>0</v>
      </c>
      <c r="BQ84" s="69"/>
    </row>
    <row r="85" spans="2:69" x14ac:dyDescent="0.25">
      <c r="B85" s="74">
        <v>73</v>
      </c>
      <c r="C85" s="80">
        <v>45406</v>
      </c>
      <c r="D85" s="74" t="s">
        <v>55</v>
      </c>
      <c r="E85" s="74" t="s">
        <v>139</v>
      </c>
      <c r="F85" s="82">
        <v>1260.5</v>
      </c>
      <c r="G85" s="82">
        <v>1265</v>
      </c>
      <c r="H85" s="83">
        <v>0.41319444444444442</v>
      </c>
      <c r="I85" s="83">
        <v>0.42708333333333331</v>
      </c>
      <c r="J85" s="74" t="s">
        <v>50</v>
      </c>
      <c r="K85" s="74" t="s">
        <v>132</v>
      </c>
      <c r="L85" s="73">
        <v>110</v>
      </c>
      <c r="M85" s="74">
        <v>40</v>
      </c>
      <c r="N85" s="74" t="s">
        <v>51</v>
      </c>
      <c r="O85" s="74" t="s">
        <v>52</v>
      </c>
      <c r="P85" s="74">
        <v>170</v>
      </c>
      <c r="Q85" s="105">
        <f t="shared" si="8"/>
        <v>-1.5454545454545454</v>
      </c>
      <c r="R85" s="73">
        <f t="shared" si="9"/>
        <v>21535</v>
      </c>
      <c r="S85" s="73"/>
      <c r="T85" s="79"/>
      <c r="U85" s="92"/>
      <c r="Y85" s="74">
        <v>74</v>
      </c>
      <c r="Z85" s="80">
        <v>45426</v>
      </c>
      <c r="AA85" s="74">
        <f t="shared" si="10"/>
        <v>-170</v>
      </c>
      <c r="AB85" s="76">
        <f t="shared" si="11"/>
        <v>10695</v>
      </c>
      <c r="AC85" s="77" t="str">
        <f t="shared" si="12"/>
        <v>May 2024</v>
      </c>
      <c r="BG85" s="86"/>
      <c r="BH85" s="87">
        <f t="shared" si="13"/>
        <v>1.3888888888888895E-2</v>
      </c>
      <c r="BI85" s="88">
        <f t="shared" si="14"/>
        <v>0</v>
      </c>
      <c r="BJ85" s="88">
        <f t="shared" si="15"/>
        <v>1</v>
      </c>
      <c r="BQ85" s="69"/>
    </row>
    <row r="86" spans="2:69" x14ac:dyDescent="0.25">
      <c r="B86" s="74">
        <v>74</v>
      </c>
      <c r="C86" s="80">
        <v>45407</v>
      </c>
      <c r="D86" s="74" t="s">
        <v>57</v>
      </c>
      <c r="E86" s="74" t="s">
        <v>140</v>
      </c>
      <c r="F86" s="82">
        <v>375</v>
      </c>
      <c r="G86" s="82">
        <v>378</v>
      </c>
      <c r="H86" s="83">
        <v>0.41666666666666669</v>
      </c>
      <c r="I86" s="83">
        <v>0.43055555555555558</v>
      </c>
      <c r="J86" s="74" t="s">
        <v>130</v>
      </c>
      <c r="K86" s="74" t="s">
        <v>135</v>
      </c>
      <c r="L86" s="73">
        <v>120</v>
      </c>
      <c r="M86" s="74">
        <v>40</v>
      </c>
      <c r="N86" s="74" t="s">
        <v>43</v>
      </c>
      <c r="O86" s="74" t="s">
        <v>58</v>
      </c>
      <c r="P86" s="74">
        <v>150</v>
      </c>
      <c r="Q86" s="105">
        <f t="shared" si="8"/>
        <v>1.25</v>
      </c>
      <c r="R86" s="73">
        <f t="shared" si="9"/>
        <v>21685</v>
      </c>
      <c r="S86" s="73"/>
      <c r="T86" s="79"/>
      <c r="U86" s="92"/>
      <c r="Y86" s="74">
        <v>75</v>
      </c>
      <c r="Z86" s="80">
        <v>45427</v>
      </c>
      <c r="AA86" s="74">
        <f t="shared" si="10"/>
        <v>180</v>
      </c>
      <c r="AB86" s="76">
        <f t="shared" si="11"/>
        <v>10875</v>
      </c>
      <c r="AC86" s="77" t="str">
        <f t="shared" si="12"/>
        <v>May 2024</v>
      </c>
      <c r="BG86" s="86"/>
      <c r="BH86" s="87">
        <f t="shared" si="13"/>
        <v>1.3888888888888895E-2</v>
      </c>
      <c r="BI86" s="88">
        <f t="shared" si="14"/>
        <v>1</v>
      </c>
      <c r="BJ86" s="88">
        <f t="shared" si="15"/>
        <v>0</v>
      </c>
      <c r="BQ86" s="69"/>
    </row>
    <row r="87" spans="2:69" x14ac:dyDescent="0.25">
      <c r="B87" s="74">
        <v>75</v>
      </c>
      <c r="C87" s="80">
        <v>45408</v>
      </c>
      <c r="D87" s="74" t="s">
        <v>59</v>
      </c>
      <c r="E87" s="74" t="s">
        <v>141</v>
      </c>
      <c r="F87" s="82">
        <v>1500</v>
      </c>
      <c r="G87" s="82">
        <v>1505.5</v>
      </c>
      <c r="H87" s="83">
        <v>0.40972222222222227</v>
      </c>
      <c r="I87" s="83">
        <v>0.4236111111111111</v>
      </c>
      <c r="J87" s="74" t="s">
        <v>50</v>
      </c>
      <c r="K87" s="74" t="s">
        <v>128</v>
      </c>
      <c r="L87" s="73">
        <v>115</v>
      </c>
      <c r="M87" s="74">
        <v>40</v>
      </c>
      <c r="N87" s="74" t="s">
        <v>51</v>
      </c>
      <c r="O87" s="74" t="s">
        <v>52</v>
      </c>
      <c r="P87" s="74">
        <v>170</v>
      </c>
      <c r="Q87" s="105">
        <f t="shared" si="8"/>
        <v>-1.4782608695652173</v>
      </c>
      <c r="R87" s="73">
        <f t="shared" si="9"/>
        <v>21855</v>
      </c>
      <c r="S87" s="73"/>
      <c r="T87" s="79"/>
      <c r="U87" s="92"/>
      <c r="Y87" s="74">
        <v>76</v>
      </c>
      <c r="Z87" s="80">
        <v>45428</v>
      </c>
      <c r="AA87" s="74">
        <f t="shared" si="10"/>
        <v>160</v>
      </c>
      <c r="AB87" s="76">
        <f t="shared" si="11"/>
        <v>11035</v>
      </c>
      <c r="AC87" s="77" t="str">
        <f t="shared" si="12"/>
        <v>May 2024</v>
      </c>
      <c r="BG87" s="86"/>
      <c r="BH87" s="87">
        <f t="shared" si="13"/>
        <v>1.388888888888884E-2</v>
      </c>
      <c r="BI87" s="88">
        <f t="shared" si="14"/>
        <v>0</v>
      </c>
      <c r="BJ87" s="88">
        <f t="shared" si="15"/>
        <v>1</v>
      </c>
      <c r="BQ87" s="69"/>
    </row>
    <row r="88" spans="2:69" x14ac:dyDescent="0.25">
      <c r="B88" s="74">
        <v>76</v>
      </c>
      <c r="C88" s="80">
        <v>45411</v>
      </c>
      <c r="D88" s="74" t="s">
        <v>48</v>
      </c>
      <c r="E88" s="74" t="s">
        <v>134</v>
      </c>
      <c r="F88" s="82">
        <v>3440</v>
      </c>
      <c r="G88" s="82">
        <v>3450</v>
      </c>
      <c r="H88" s="83">
        <v>0.40625</v>
      </c>
      <c r="I88" s="83">
        <v>0.4201388888888889</v>
      </c>
      <c r="J88" s="74" t="s">
        <v>130</v>
      </c>
      <c r="K88" s="74" t="s">
        <v>132</v>
      </c>
      <c r="L88" s="73">
        <v>125</v>
      </c>
      <c r="M88" s="74">
        <v>40</v>
      </c>
      <c r="N88" s="74" t="s">
        <v>51</v>
      </c>
      <c r="O88" s="74" t="s">
        <v>52</v>
      </c>
      <c r="P88" s="74">
        <v>160</v>
      </c>
      <c r="Q88" s="105">
        <f t="shared" si="8"/>
        <v>-1.28</v>
      </c>
      <c r="R88" s="73">
        <f t="shared" si="9"/>
        <v>22015</v>
      </c>
      <c r="S88" s="73"/>
      <c r="T88" s="79"/>
      <c r="U88" s="92"/>
      <c r="Y88" s="74">
        <v>77</v>
      </c>
      <c r="Z88" s="80">
        <v>45429</v>
      </c>
      <c r="AA88" s="74">
        <f t="shared" si="10"/>
        <v>-150</v>
      </c>
      <c r="AB88" s="76">
        <f t="shared" si="11"/>
        <v>10885</v>
      </c>
      <c r="AC88" s="77" t="str">
        <f t="shared" si="12"/>
        <v>May 2024</v>
      </c>
      <c r="BG88" s="86"/>
      <c r="BH88" s="87">
        <f t="shared" si="13"/>
        <v>1.3888888888888895E-2</v>
      </c>
      <c r="BI88" s="88">
        <f t="shared" si="14"/>
        <v>0</v>
      </c>
      <c r="BJ88" s="88">
        <f t="shared" si="15"/>
        <v>2</v>
      </c>
      <c r="BQ88" s="69"/>
    </row>
    <row r="89" spans="2:69" x14ac:dyDescent="0.25">
      <c r="B89" s="74">
        <v>77</v>
      </c>
      <c r="C89" s="80">
        <v>45412</v>
      </c>
      <c r="D89" s="74" t="s">
        <v>54</v>
      </c>
      <c r="E89" s="74" t="s">
        <v>136</v>
      </c>
      <c r="F89" s="82">
        <v>625</v>
      </c>
      <c r="G89" s="82">
        <v>630</v>
      </c>
      <c r="H89" s="83">
        <v>0.41666666666666669</v>
      </c>
      <c r="I89" s="83">
        <v>0.43055555555555558</v>
      </c>
      <c r="J89" s="74" t="s">
        <v>50</v>
      </c>
      <c r="K89" s="74" t="s">
        <v>128</v>
      </c>
      <c r="L89" s="73">
        <v>130</v>
      </c>
      <c r="M89" s="74">
        <v>40</v>
      </c>
      <c r="N89" s="74" t="s">
        <v>51</v>
      </c>
      <c r="O89" s="74" t="s">
        <v>52</v>
      </c>
      <c r="P89" s="74">
        <v>180</v>
      </c>
      <c r="Q89" s="105">
        <f t="shared" si="8"/>
        <v>-1.3846153846153846</v>
      </c>
      <c r="R89" s="73">
        <f t="shared" si="9"/>
        <v>22195</v>
      </c>
      <c r="S89" s="73"/>
      <c r="T89" s="79"/>
      <c r="U89" s="92"/>
      <c r="Y89" s="74">
        <v>78</v>
      </c>
      <c r="Z89" s="80">
        <v>45432</v>
      </c>
      <c r="AA89" s="74">
        <f t="shared" si="10"/>
        <v>170</v>
      </c>
      <c r="AB89" s="76">
        <f t="shared" si="11"/>
        <v>11055</v>
      </c>
      <c r="AC89" s="77" t="str">
        <f t="shared" si="12"/>
        <v>May 2024</v>
      </c>
      <c r="BG89" s="86"/>
      <c r="BH89" s="87">
        <f t="shared" si="13"/>
        <v>1.3888888888888895E-2</v>
      </c>
      <c r="BI89" s="88">
        <f t="shared" si="14"/>
        <v>0</v>
      </c>
      <c r="BJ89" s="88">
        <f t="shared" si="15"/>
        <v>3</v>
      </c>
      <c r="BQ89" s="69"/>
    </row>
    <row r="90" spans="2:69" x14ac:dyDescent="0.25">
      <c r="B90" s="74">
        <v>78</v>
      </c>
      <c r="C90" s="80">
        <v>45413</v>
      </c>
      <c r="D90" s="74" t="s">
        <v>55</v>
      </c>
      <c r="E90" s="74" t="s">
        <v>139</v>
      </c>
      <c r="F90" s="82">
        <v>1265</v>
      </c>
      <c r="G90" s="82">
        <v>1270</v>
      </c>
      <c r="H90" s="83">
        <v>0.41319444444444442</v>
      </c>
      <c r="I90" s="83">
        <v>0.42708333333333331</v>
      </c>
      <c r="J90" s="74" t="s">
        <v>130</v>
      </c>
      <c r="K90" s="74" t="s">
        <v>135</v>
      </c>
      <c r="L90" s="73">
        <v>120</v>
      </c>
      <c r="M90" s="74">
        <v>40</v>
      </c>
      <c r="N90" s="74" t="s">
        <v>43</v>
      </c>
      <c r="O90" s="74" t="s">
        <v>58</v>
      </c>
      <c r="P90" s="74">
        <v>150</v>
      </c>
      <c r="Q90" s="105">
        <f t="shared" si="8"/>
        <v>1.25</v>
      </c>
      <c r="R90" s="73">
        <f t="shared" si="9"/>
        <v>22345</v>
      </c>
      <c r="S90" s="73"/>
      <c r="T90" s="79"/>
      <c r="U90" s="92"/>
      <c r="Y90" s="74">
        <v>79</v>
      </c>
      <c r="Z90" s="80">
        <v>45433</v>
      </c>
      <c r="AA90" s="74">
        <f t="shared" si="10"/>
        <v>-150</v>
      </c>
      <c r="AB90" s="76">
        <f t="shared" si="11"/>
        <v>10905</v>
      </c>
      <c r="AC90" s="77" t="str">
        <f t="shared" si="12"/>
        <v>May 2024</v>
      </c>
      <c r="BG90" s="86"/>
      <c r="BH90" s="87">
        <f t="shared" si="13"/>
        <v>1.3888888888888895E-2</v>
      </c>
      <c r="BI90" s="88">
        <f t="shared" si="14"/>
        <v>1</v>
      </c>
      <c r="BJ90" s="88">
        <f t="shared" si="15"/>
        <v>0</v>
      </c>
      <c r="BQ90" s="69"/>
    </row>
    <row r="91" spans="2:69" x14ac:dyDescent="0.25">
      <c r="B91" s="74">
        <v>79</v>
      </c>
      <c r="C91" s="80">
        <v>45414</v>
      </c>
      <c r="D91" s="74" t="s">
        <v>57</v>
      </c>
      <c r="E91" s="74" t="s">
        <v>140</v>
      </c>
      <c r="F91" s="82">
        <v>378</v>
      </c>
      <c r="G91" s="82">
        <v>380</v>
      </c>
      <c r="H91" s="83">
        <v>0.4201388888888889</v>
      </c>
      <c r="I91" s="83">
        <v>0.43402777777777773</v>
      </c>
      <c r="J91" s="74" t="s">
        <v>50</v>
      </c>
      <c r="K91" s="74" t="s">
        <v>132</v>
      </c>
      <c r="L91" s="73">
        <v>110</v>
      </c>
      <c r="M91" s="74">
        <v>40</v>
      </c>
      <c r="N91" s="74" t="s">
        <v>43</v>
      </c>
      <c r="O91" s="74" t="s">
        <v>58</v>
      </c>
      <c r="P91" s="74">
        <v>170</v>
      </c>
      <c r="Q91" s="105">
        <f t="shared" si="8"/>
        <v>1.5454545454545454</v>
      </c>
      <c r="R91" s="73">
        <f t="shared" si="9"/>
        <v>22515</v>
      </c>
      <c r="S91" s="73"/>
      <c r="T91" s="79"/>
      <c r="U91" s="92"/>
      <c r="Y91" s="74">
        <v>80</v>
      </c>
      <c r="Z91" s="80">
        <v>45434</v>
      </c>
      <c r="AA91" s="74">
        <f t="shared" si="10"/>
        <v>160</v>
      </c>
      <c r="AB91" s="76">
        <f t="shared" si="11"/>
        <v>11065</v>
      </c>
      <c r="AC91" s="77" t="str">
        <f t="shared" si="12"/>
        <v>May 2024</v>
      </c>
      <c r="BG91" s="86"/>
      <c r="BH91" s="87">
        <f t="shared" si="13"/>
        <v>1.388888888888884E-2</v>
      </c>
      <c r="BI91" s="88">
        <f t="shared" si="14"/>
        <v>2</v>
      </c>
      <c r="BJ91" s="88">
        <f t="shared" si="15"/>
        <v>0</v>
      </c>
      <c r="BQ91" s="69"/>
    </row>
    <row r="92" spans="2:69" x14ac:dyDescent="0.25">
      <c r="B92" s="74">
        <v>80</v>
      </c>
      <c r="C92" s="80">
        <v>45415</v>
      </c>
      <c r="D92" s="74" t="s">
        <v>59</v>
      </c>
      <c r="E92" s="74" t="s">
        <v>141</v>
      </c>
      <c r="F92" s="82">
        <v>1505.5</v>
      </c>
      <c r="G92" s="82">
        <v>1510</v>
      </c>
      <c r="H92" s="83">
        <v>0.40972222222222227</v>
      </c>
      <c r="I92" s="83">
        <v>0.4236111111111111</v>
      </c>
      <c r="J92" s="74" t="s">
        <v>130</v>
      </c>
      <c r="K92" s="74" t="s">
        <v>128</v>
      </c>
      <c r="L92" s="73">
        <v>125</v>
      </c>
      <c r="M92" s="74">
        <v>40</v>
      </c>
      <c r="N92" s="74" t="s">
        <v>43</v>
      </c>
      <c r="O92" s="74" t="s">
        <v>58</v>
      </c>
      <c r="P92" s="74">
        <v>160</v>
      </c>
      <c r="Q92" s="105">
        <f t="shared" si="8"/>
        <v>1.28</v>
      </c>
      <c r="R92" s="73">
        <f t="shared" si="9"/>
        <v>22675</v>
      </c>
      <c r="S92" s="73"/>
      <c r="T92" s="79"/>
      <c r="U92" s="92"/>
      <c r="Y92" s="74">
        <v>81</v>
      </c>
      <c r="Z92" s="80">
        <v>45435</v>
      </c>
      <c r="AA92" s="74">
        <f t="shared" si="10"/>
        <v>170</v>
      </c>
      <c r="AB92" s="76">
        <f t="shared" si="11"/>
        <v>11235</v>
      </c>
      <c r="AC92" s="77" t="str">
        <f t="shared" si="12"/>
        <v>May 2024</v>
      </c>
      <c r="BG92" s="86"/>
      <c r="BH92" s="87">
        <f t="shared" si="13"/>
        <v>1.388888888888884E-2</v>
      </c>
      <c r="BI92" s="88">
        <f t="shared" si="14"/>
        <v>3</v>
      </c>
      <c r="BJ92" s="88">
        <f t="shared" si="15"/>
        <v>0</v>
      </c>
      <c r="BQ92" s="69"/>
    </row>
    <row r="93" spans="2:69" x14ac:dyDescent="0.25">
      <c r="B93" s="74">
        <v>81</v>
      </c>
      <c r="C93" s="80">
        <v>45418</v>
      </c>
      <c r="D93" s="74" t="s">
        <v>48</v>
      </c>
      <c r="E93" s="74" t="s">
        <v>134</v>
      </c>
      <c r="F93" s="82">
        <v>3450</v>
      </c>
      <c r="G93" s="82">
        <v>3460</v>
      </c>
      <c r="H93" s="83">
        <v>0.40277777777777773</v>
      </c>
      <c r="I93" s="83">
        <v>0.41666666666666669</v>
      </c>
      <c r="J93" s="74" t="s">
        <v>50</v>
      </c>
      <c r="K93" s="74" t="s">
        <v>135</v>
      </c>
      <c r="L93" s="73">
        <v>130</v>
      </c>
      <c r="M93" s="74">
        <v>40</v>
      </c>
      <c r="N93" s="74" t="s">
        <v>51</v>
      </c>
      <c r="O93" s="74" t="s">
        <v>52</v>
      </c>
      <c r="P93" s="74">
        <v>160</v>
      </c>
      <c r="Q93" s="105">
        <f t="shared" si="8"/>
        <v>-1.2307692307692308</v>
      </c>
      <c r="R93" s="73">
        <f t="shared" si="9"/>
        <v>22835</v>
      </c>
      <c r="S93" s="73"/>
      <c r="T93" s="79"/>
      <c r="U93" s="92"/>
      <c r="Y93" s="74">
        <v>82</v>
      </c>
      <c r="Z93" s="80">
        <v>45436</v>
      </c>
      <c r="AA93" s="74">
        <f t="shared" si="10"/>
        <v>-160</v>
      </c>
      <c r="AB93" s="76">
        <f t="shared" si="11"/>
        <v>11075</v>
      </c>
      <c r="AC93" s="77" t="str">
        <f t="shared" si="12"/>
        <v>May 2024</v>
      </c>
      <c r="BG93" s="86"/>
      <c r="BH93" s="87">
        <f t="shared" si="13"/>
        <v>1.3888888888888951E-2</v>
      </c>
      <c r="BI93" s="88">
        <f t="shared" si="14"/>
        <v>0</v>
      </c>
      <c r="BJ93" s="88">
        <f t="shared" si="15"/>
        <v>1</v>
      </c>
      <c r="BQ93" s="69"/>
    </row>
    <row r="94" spans="2:69" x14ac:dyDescent="0.25">
      <c r="B94" s="74">
        <v>82</v>
      </c>
      <c r="C94" s="80">
        <v>45419</v>
      </c>
      <c r="D94" s="74" t="s">
        <v>54</v>
      </c>
      <c r="E94" s="74" t="s">
        <v>136</v>
      </c>
      <c r="F94" s="82">
        <v>630</v>
      </c>
      <c r="G94" s="82">
        <v>635</v>
      </c>
      <c r="H94" s="83">
        <v>0.41666666666666669</v>
      </c>
      <c r="I94" s="83">
        <v>0.43055555555555558</v>
      </c>
      <c r="J94" s="74" t="s">
        <v>130</v>
      </c>
      <c r="K94" s="74" t="s">
        <v>128</v>
      </c>
      <c r="L94" s="73">
        <v>125</v>
      </c>
      <c r="M94" s="74">
        <v>40</v>
      </c>
      <c r="N94" s="74" t="s">
        <v>51</v>
      </c>
      <c r="O94" s="74" t="s">
        <v>52</v>
      </c>
      <c r="P94" s="74">
        <v>170</v>
      </c>
      <c r="Q94" s="105">
        <f t="shared" si="8"/>
        <v>-1.36</v>
      </c>
      <c r="R94" s="73">
        <f t="shared" si="9"/>
        <v>23005</v>
      </c>
      <c r="S94" s="73"/>
      <c r="T94" s="79"/>
      <c r="U94" s="92"/>
      <c r="Y94" s="74">
        <v>83</v>
      </c>
      <c r="Z94" s="80">
        <v>45439</v>
      </c>
      <c r="AA94" s="74">
        <f t="shared" si="10"/>
        <v>-170</v>
      </c>
      <c r="AB94" s="76">
        <f t="shared" si="11"/>
        <v>10905</v>
      </c>
      <c r="AC94" s="77" t="str">
        <f t="shared" si="12"/>
        <v>May 2024</v>
      </c>
      <c r="BG94" s="86"/>
      <c r="BH94" s="87">
        <f t="shared" si="13"/>
        <v>1.3888888888888895E-2</v>
      </c>
      <c r="BI94" s="88">
        <f t="shared" si="14"/>
        <v>0</v>
      </c>
      <c r="BJ94" s="88">
        <f t="shared" si="15"/>
        <v>2</v>
      </c>
      <c r="BQ94" s="69"/>
    </row>
    <row r="95" spans="2:69" x14ac:dyDescent="0.25">
      <c r="B95" s="74">
        <v>83</v>
      </c>
      <c r="C95" s="80">
        <v>45420</v>
      </c>
      <c r="D95" s="74" t="s">
        <v>55</v>
      </c>
      <c r="E95" s="74" t="s">
        <v>139</v>
      </c>
      <c r="F95" s="82">
        <v>1270</v>
      </c>
      <c r="G95" s="82">
        <v>1275</v>
      </c>
      <c r="H95" s="83">
        <v>0.41319444444444442</v>
      </c>
      <c r="I95" s="83">
        <v>0.42708333333333331</v>
      </c>
      <c r="J95" s="74" t="s">
        <v>50</v>
      </c>
      <c r="K95" s="74" t="s">
        <v>132</v>
      </c>
      <c r="L95" s="73">
        <v>115</v>
      </c>
      <c r="M95" s="74">
        <v>40</v>
      </c>
      <c r="N95" s="74" t="s">
        <v>51</v>
      </c>
      <c r="O95" s="74" t="s">
        <v>52</v>
      </c>
      <c r="P95" s="74">
        <v>180</v>
      </c>
      <c r="Q95" s="105">
        <f t="shared" si="8"/>
        <v>-1.5652173913043479</v>
      </c>
      <c r="R95" s="73">
        <f t="shared" si="9"/>
        <v>23185</v>
      </c>
      <c r="S95" s="73"/>
      <c r="T95" s="79"/>
      <c r="U95" s="92"/>
      <c r="Y95" s="74">
        <v>84</v>
      </c>
      <c r="Z95" s="80">
        <v>45440</v>
      </c>
      <c r="AA95" s="74">
        <f t="shared" si="10"/>
        <v>180</v>
      </c>
      <c r="AB95" s="76">
        <f t="shared" si="11"/>
        <v>11085</v>
      </c>
      <c r="AC95" s="77" t="str">
        <f t="shared" si="12"/>
        <v>May 2024</v>
      </c>
      <c r="BG95" s="86"/>
      <c r="BH95" s="87">
        <f t="shared" si="13"/>
        <v>1.3888888888888895E-2</v>
      </c>
      <c r="BI95" s="88">
        <f t="shared" si="14"/>
        <v>0</v>
      </c>
      <c r="BJ95" s="88">
        <f t="shared" si="15"/>
        <v>3</v>
      </c>
      <c r="BQ95" s="69"/>
    </row>
    <row r="96" spans="2:69" x14ac:dyDescent="0.25">
      <c r="B96" s="74">
        <v>84</v>
      </c>
      <c r="C96" s="80">
        <v>45421</v>
      </c>
      <c r="D96" s="74" t="s">
        <v>57</v>
      </c>
      <c r="E96" s="74" t="s">
        <v>140</v>
      </c>
      <c r="F96" s="82">
        <v>380</v>
      </c>
      <c r="G96" s="82">
        <v>382.5</v>
      </c>
      <c r="H96" s="83">
        <v>0.4201388888888889</v>
      </c>
      <c r="I96" s="83">
        <v>0.43402777777777773</v>
      </c>
      <c r="J96" s="74" t="s">
        <v>130</v>
      </c>
      <c r="K96" s="74" t="s">
        <v>135</v>
      </c>
      <c r="L96" s="73">
        <v>120</v>
      </c>
      <c r="M96" s="74">
        <v>40</v>
      </c>
      <c r="N96" s="74" t="s">
        <v>43</v>
      </c>
      <c r="O96" s="74" t="s">
        <v>58</v>
      </c>
      <c r="P96" s="74">
        <v>200</v>
      </c>
      <c r="Q96" s="105">
        <f t="shared" si="8"/>
        <v>1.6666666666666667</v>
      </c>
      <c r="R96" s="73">
        <f t="shared" si="9"/>
        <v>23385</v>
      </c>
      <c r="S96" s="73"/>
      <c r="T96" s="79"/>
      <c r="U96" s="92"/>
      <c r="Y96" s="74">
        <v>85</v>
      </c>
      <c r="Z96" s="80">
        <v>45441</v>
      </c>
      <c r="AA96" s="74">
        <f t="shared" si="10"/>
        <v>150</v>
      </c>
      <c r="AB96" s="76">
        <f t="shared" si="11"/>
        <v>11235</v>
      </c>
      <c r="AC96" s="77" t="str">
        <f t="shared" si="12"/>
        <v>May 2024</v>
      </c>
      <c r="BG96" s="86"/>
      <c r="BH96" s="87">
        <f t="shared" si="13"/>
        <v>1.388888888888884E-2</v>
      </c>
      <c r="BI96" s="88">
        <f t="shared" si="14"/>
        <v>1</v>
      </c>
      <c r="BJ96" s="88">
        <f t="shared" si="15"/>
        <v>0</v>
      </c>
      <c r="BQ96" s="69"/>
    </row>
    <row r="97" spans="2:69" x14ac:dyDescent="0.25">
      <c r="B97" s="74">
        <v>85</v>
      </c>
      <c r="C97" s="80">
        <v>45422</v>
      </c>
      <c r="D97" s="74" t="s">
        <v>59</v>
      </c>
      <c r="E97" s="74" t="s">
        <v>141</v>
      </c>
      <c r="F97" s="82">
        <v>1510</v>
      </c>
      <c r="G97" s="82">
        <v>1515</v>
      </c>
      <c r="H97" s="83">
        <v>0.40972222222222227</v>
      </c>
      <c r="I97" s="83">
        <v>0.4236111111111111</v>
      </c>
      <c r="J97" s="74" t="s">
        <v>50</v>
      </c>
      <c r="K97" s="74" t="s">
        <v>128</v>
      </c>
      <c r="L97" s="73">
        <v>110</v>
      </c>
      <c r="M97" s="74">
        <v>40</v>
      </c>
      <c r="N97" s="74" t="s">
        <v>43</v>
      </c>
      <c r="O97" s="74" t="s">
        <v>58</v>
      </c>
      <c r="P97" s="74">
        <v>150</v>
      </c>
      <c r="Q97" s="105">
        <f t="shared" si="8"/>
        <v>1.3636363636363635</v>
      </c>
      <c r="R97" s="73">
        <f t="shared" si="9"/>
        <v>23535</v>
      </c>
      <c r="S97" s="73"/>
      <c r="T97" s="79"/>
      <c r="U97" s="92"/>
      <c r="Y97" s="74">
        <v>86</v>
      </c>
      <c r="Z97" s="80">
        <v>45442</v>
      </c>
      <c r="AA97" s="74">
        <f t="shared" si="10"/>
        <v>-160</v>
      </c>
      <c r="AB97" s="76">
        <f t="shared" si="11"/>
        <v>11075</v>
      </c>
      <c r="AC97" s="77" t="str">
        <f t="shared" si="12"/>
        <v>May 2024</v>
      </c>
      <c r="BG97" s="86"/>
      <c r="BH97" s="87">
        <f t="shared" si="13"/>
        <v>1.388888888888884E-2</v>
      </c>
      <c r="BI97" s="88">
        <f t="shared" si="14"/>
        <v>2</v>
      </c>
      <c r="BJ97" s="88">
        <f t="shared" si="15"/>
        <v>0</v>
      </c>
      <c r="BQ97" s="69"/>
    </row>
    <row r="98" spans="2:69" x14ac:dyDescent="0.25">
      <c r="B98" s="74">
        <v>86</v>
      </c>
      <c r="C98" s="80">
        <v>45425</v>
      </c>
      <c r="D98" s="74" t="s">
        <v>48</v>
      </c>
      <c r="E98" s="74" t="s">
        <v>134</v>
      </c>
      <c r="F98" s="82">
        <v>3460</v>
      </c>
      <c r="G98" s="82">
        <v>3470</v>
      </c>
      <c r="H98" s="83">
        <v>0.40625</v>
      </c>
      <c r="I98" s="83">
        <v>0.4201388888888889</v>
      </c>
      <c r="J98" s="74" t="s">
        <v>50</v>
      </c>
      <c r="K98" s="74" t="s">
        <v>132</v>
      </c>
      <c r="L98" s="73">
        <v>120</v>
      </c>
      <c r="M98" s="74">
        <v>40</v>
      </c>
      <c r="N98" s="74" t="s">
        <v>43</v>
      </c>
      <c r="O98" s="74" t="s">
        <v>58</v>
      </c>
      <c r="P98" s="74">
        <v>160</v>
      </c>
      <c r="Q98" s="105">
        <f t="shared" si="8"/>
        <v>1.3333333333333333</v>
      </c>
      <c r="R98" s="73">
        <f t="shared" si="9"/>
        <v>23695</v>
      </c>
      <c r="S98" s="73"/>
      <c r="T98" s="79"/>
      <c r="U98" s="92"/>
      <c r="Y98" s="74">
        <v>87</v>
      </c>
      <c r="Z98" s="80">
        <v>45443</v>
      </c>
      <c r="AA98" s="74">
        <f t="shared" si="10"/>
        <v>-170</v>
      </c>
      <c r="AB98" s="76">
        <f t="shared" si="11"/>
        <v>10905</v>
      </c>
      <c r="AC98" s="77" t="str">
        <f t="shared" si="12"/>
        <v>May 2024</v>
      </c>
      <c r="BG98" s="86"/>
      <c r="BH98" s="87">
        <f t="shared" si="13"/>
        <v>1.3888888888888895E-2</v>
      </c>
      <c r="BI98" s="88">
        <f t="shared" si="14"/>
        <v>3</v>
      </c>
      <c r="BJ98" s="88">
        <f t="shared" si="15"/>
        <v>0</v>
      </c>
      <c r="BQ98" s="69"/>
    </row>
    <row r="99" spans="2:69" x14ac:dyDescent="0.25">
      <c r="B99" s="74">
        <v>87</v>
      </c>
      <c r="C99" s="80">
        <v>45426</v>
      </c>
      <c r="D99" s="74" t="s">
        <v>54</v>
      </c>
      <c r="E99" s="74" t="s">
        <v>136</v>
      </c>
      <c r="F99" s="82">
        <v>635</v>
      </c>
      <c r="G99" s="82">
        <v>640</v>
      </c>
      <c r="H99" s="83">
        <v>0.41666666666666669</v>
      </c>
      <c r="I99" s="83">
        <v>0.43055555555555558</v>
      </c>
      <c r="J99" s="74" t="s">
        <v>130</v>
      </c>
      <c r="K99" s="74" t="s">
        <v>128</v>
      </c>
      <c r="L99" s="73">
        <v>125</v>
      </c>
      <c r="M99" s="74">
        <v>40</v>
      </c>
      <c r="N99" s="74" t="s">
        <v>51</v>
      </c>
      <c r="O99" s="74" t="s">
        <v>52</v>
      </c>
      <c r="P99" s="74">
        <v>170</v>
      </c>
      <c r="Q99" s="105">
        <f t="shared" si="8"/>
        <v>-1.36</v>
      </c>
      <c r="R99" s="73">
        <f t="shared" si="9"/>
        <v>23865</v>
      </c>
      <c r="S99" s="73"/>
      <c r="T99" s="79"/>
      <c r="U99" s="92"/>
      <c r="Y99" s="74">
        <v>88</v>
      </c>
      <c r="Z99" s="80">
        <v>45446</v>
      </c>
      <c r="AA99" s="74">
        <f t="shared" si="10"/>
        <v>150</v>
      </c>
      <c r="AB99" s="76">
        <f t="shared" si="11"/>
        <v>11055</v>
      </c>
      <c r="AC99" s="77" t="str">
        <f t="shared" si="12"/>
        <v>Jun 2024</v>
      </c>
      <c r="BG99" s="86"/>
      <c r="BH99" s="87">
        <f t="shared" si="13"/>
        <v>1.3888888888888895E-2</v>
      </c>
      <c r="BI99" s="88">
        <f t="shared" si="14"/>
        <v>0</v>
      </c>
      <c r="BJ99" s="88">
        <f t="shared" si="15"/>
        <v>1</v>
      </c>
      <c r="BQ99" s="69"/>
    </row>
    <row r="100" spans="2:69" x14ac:dyDescent="0.25">
      <c r="B100" s="74">
        <v>88</v>
      </c>
      <c r="C100" s="80">
        <v>45427</v>
      </c>
      <c r="D100" s="74" t="s">
        <v>55</v>
      </c>
      <c r="E100" s="74" t="s">
        <v>139</v>
      </c>
      <c r="F100" s="82">
        <v>1275</v>
      </c>
      <c r="G100" s="82">
        <v>1280</v>
      </c>
      <c r="H100" s="83">
        <v>0.41319444444444442</v>
      </c>
      <c r="I100" s="83">
        <v>0.42708333333333331</v>
      </c>
      <c r="J100" s="74" t="s">
        <v>50</v>
      </c>
      <c r="K100" s="74" t="s">
        <v>135</v>
      </c>
      <c r="L100" s="73">
        <v>120</v>
      </c>
      <c r="M100" s="74">
        <v>40</v>
      </c>
      <c r="N100" s="74" t="s">
        <v>43</v>
      </c>
      <c r="O100" s="74" t="s">
        <v>58</v>
      </c>
      <c r="P100" s="74">
        <v>180</v>
      </c>
      <c r="Q100" s="105">
        <f t="shared" si="8"/>
        <v>1.5</v>
      </c>
      <c r="R100" s="73">
        <f t="shared" si="9"/>
        <v>24045</v>
      </c>
      <c r="S100" s="73"/>
      <c r="T100" s="79"/>
      <c r="U100" s="92"/>
      <c r="Y100" s="74">
        <v>89</v>
      </c>
      <c r="Z100" s="80">
        <v>45447</v>
      </c>
      <c r="AA100" s="74">
        <f t="shared" si="10"/>
        <v>160</v>
      </c>
      <c r="AB100" s="76">
        <f t="shared" si="11"/>
        <v>11215</v>
      </c>
      <c r="AC100" s="77" t="str">
        <f t="shared" si="12"/>
        <v>Jun 2024</v>
      </c>
      <c r="BG100" s="86"/>
      <c r="BH100" s="87">
        <f t="shared" si="13"/>
        <v>1.3888888888888895E-2</v>
      </c>
      <c r="BI100" s="88">
        <f t="shared" si="14"/>
        <v>1</v>
      </c>
      <c r="BJ100" s="88">
        <f t="shared" si="15"/>
        <v>0</v>
      </c>
      <c r="BQ100" s="69"/>
    </row>
    <row r="101" spans="2:69" x14ac:dyDescent="0.25">
      <c r="B101" s="74">
        <v>89</v>
      </c>
      <c r="C101" s="80">
        <v>45428</v>
      </c>
      <c r="D101" s="74" t="s">
        <v>57</v>
      </c>
      <c r="E101" s="74" t="s">
        <v>140</v>
      </c>
      <c r="F101" s="82">
        <v>382.5</v>
      </c>
      <c r="G101" s="82">
        <v>385</v>
      </c>
      <c r="H101" s="83">
        <v>0.4201388888888889</v>
      </c>
      <c r="I101" s="83">
        <v>0.43402777777777773</v>
      </c>
      <c r="J101" s="74" t="s">
        <v>130</v>
      </c>
      <c r="K101" s="74" t="s">
        <v>128</v>
      </c>
      <c r="L101" s="73">
        <v>115</v>
      </c>
      <c r="M101" s="74">
        <v>40</v>
      </c>
      <c r="N101" s="74" t="s">
        <v>43</v>
      </c>
      <c r="O101" s="74" t="s">
        <v>58</v>
      </c>
      <c r="P101" s="74">
        <v>160</v>
      </c>
      <c r="Q101" s="105">
        <f t="shared" si="8"/>
        <v>1.3913043478260869</v>
      </c>
      <c r="R101" s="73">
        <f t="shared" si="9"/>
        <v>24205</v>
      </c>
      <c r="S101" s="73"/>
      <c r="T101" s="79"/>
      <c r="U101" s="92"/>
      <c r="Y101" s="74">
        <v>90</v>
      </c>
      <c r="Z101" s="80">
        <v>45448</v>
      </c>
      <c r="AA101" s="74">
        <f t="shared" si="10"/>
        <v>170</v>
      </c>
      <c r="AB101" s="76">
        <f t="shared" si="11"/>
        <v>11385</v>
      </c>
      <c r="AC101" s="77" t="str">
        <f t="shared" si="12"/>
        <v>Jun 2024</v>
      </c>
      <c r="BG101" s="86"/>
      <c r="BH101" s="87">
        <f t="shared" si="13"/>
        <v>1.388888888888884E-2</v>
      </c>
      <c r="BI101" s="88">
        <f t="shared" si="14"/>
        <v>2</v>
      </c>
      <c r="BJ101" s="88">
        <f t="shared" si="15"/>
        <v>0</v>
      </c>
      <c r="BQ101" s="69"/>
    </row>
    <row r="102" spans="2:69" x14ac:dyDescent="0.25">
      <c r="B102" s="74">
        <v>90</v>
      </c>
      <c r="C102" s="80">
        <v>45429</v>
      </c>
      <c r="D102" s="74" t="s">
        <v>59</v>
      </c>
      <c r="E102" s="74" t="s">
        <v>141</v>
      </c>
      <c r="F102" s="82">
        <v>1515</v>
      </c>
      <c r="G102" s="82">
        <v>1520</v>
      </c>
      <c r="H102" s="83">
        <v>0.40972222222222227</v>
      </c>
      <c r="I102" s="83">
        <v>0.4236111111111111</v>
      </c>
      <c r="J102" s="74" t="s">
        <v>50</v>
      </c>
      <c r="K102" s="74" t="s">
        <v>132</v>
      </c>
      <c r="L102" s="73">
        <v>110</v>
      </c>
      <c r="M102" s="74">
        <v>40</v>
      </c>
      <c r="N102" s="74" t="s">
        <v>51</v>
      </c>
      <c r="O102" s="74" t="s">
        <v>52</v>
      </c>
      <c r="P102" s="74">
        <v>150</v>
      </c>
      <c r="Q102" s="105">
        <f t="shared" si="8"/>
        <v>-1.3636363636363635</v>
      </c>
      <c r="R102" s="73">
        <f t="shared" si="9"/>
        <v>24355</v>
      </c>
      <c r="S102" s="73"/>
      <c r="T102" s="79"/>
      <c r="U102" s="92"/>
      <c r="Y102" s="74">
        <v>91</v>
      </c>
      <c r="Z102" s="80">
        <v>45449</v>
      </c>
      <c r="AA102" s="74">
        <f t="shared" si="10"/>
        <v>-150</v>
      </c>
      <c r="AB102" s="76">
        <f t="shared" si="11"/>
        <v>11235</v>
      </c>
      <c r="AC102" s="77" t="str">
        <f t="shared" si="12"/>
        <v>Jun 2024</v>
      </c>
      <c r="BG102" s="86"/>
      <c r="BH102" s="87">
        <f t="shared" si="13"/>
        <v>1.388888888888884E-2</v>
      </c>
      <c r="BI102" s="88">
        <f t="shared" si="14"/>
        <v>0</v>
      </c>
      <c r="BJ102" s="88">
        <f t="shared" si="15"/>
        <v>1</v>
      </c>
      <c r="BQ102" s="69"/>
    </row>
    <row r="103" spans="2:69" x14ac:dyDescent="0.25">
      <c r="B103" s="74">
        <v>91</v>
      </c>
      <c r="C103" s="80">
        <v>45432</v>
      </c>
      <c r="D103" s="74" t="s">
        <v>48</v>
      </c>
      <c r="E103" s="74" t="s">
        <v>134</v>
      </c>
      <c r="F103" s="82">
        <v>3470</v>
      </c>
      <c r="G103" s="82">
        <v>3480</v>
      </c>
      <c r="H103" s="83">
        <v>0.40625</v>
      </c>
      <c r="I103" s="83">
        <v>0.4201388888888889</v>
      </c>
      <c r="J103" s="74" t="s">
        <v>130</v>
      </c>
      <c r="K103" s="74" t="s">
        <v>135</v>
      </c>
      <c r="L103" s="73">
        <v>125</v>
      </c>
      <c r="M103" s="74">
        <v>40</v>
      </c>
      <c r="N103" s="74" t="s">
        <v>43</v>
      </c>
      <c r="O103" s="74" t="s">
        <v>58</v>
      </c>
      <c r="P103" s="74">
        <v>170</v>
      </c>
      <c r="Q103" s="105">
        <f t="shared" si="8"/>
        <v>1.36</v>
      </c>
      <c r="R103" s="73">
        <f t="shared" si="9"/>
        <v>24525</v>
      </c>
      <c r="S103" s="73"/>
      <c r="T103" s="79"/>
      <c r="U103" s="92"/>
      <c r="Y103" s="74">
        <v>92</v>
      </c>
      <c r="Z103" s="80">
        <v>45450</v>
      </c>
      <c r="AA103" s="74">
        <f t="shared" si="10"/>
        <v>170</v>
      </c>
      <c r="AB103" s="76">
        <f t="shared" si="11"/>
        <v>11405</v>
      </c>
      <c r="AC103" s="77" t="str">
        <f t="shared" si="12"/>
        <v>Jun 2024</v>
      </c>
      <c r="BG103" s="86"/>
      <c r="BH103" s="87">
        <f t="shared" si="13"/>
        <v>1.3888888888888895E-2</v>
      </c>
      <c r="BI103" s="88">
        <f t="shared" si="14"/>
        <v>1</v>
      </c>
      <c r="BJ103" s="88">
        <f t="shared" si="15"/>
        <v>0</v>
      </c>
      <c r="BQ103" s="69"/>
    </row>
    <row r="104" spans="2:69" x14ac:dyDescent="0.25">
      <c r="B104" s="74">
        <v>92</v>
      </c>
      <c r="C104" s="80">
        <v>45433</v>
      </c>
      <c r="D104" s="74" t="s">
        <v>54</v>
      </c>
      <c r="E104" s="74" t="s">
        <v>136</v>
      </c>
      <c r="F104" s="82">
        <v>640</v>
      </c>
      <c r="G104" s="82">
        <v>645</v>
      </c>
      <c r="H104" s="83">
        <v>0.41666666666666669</v>
      </c>
      <c r="I104" s="83">
        <v>0.43055555555555558</v>
      </c>
      <c r="J104" s="74" t="s">
        <v>50</v>
      </c>
      <c r="K104" s="74" t="s">
        <v>128</v>
      </c>
      <c r="L104" s="73">
        <v>120</v>
      </c>
      <c r="M104" s="74">
        <v>40</v>
      </c>
      <c r="N104" s="74" t="s">
        <v>51</v>
      </c>
      <c r="O104" s="74" t="s">
        <v>52</v>
      </c>
      <c r="P104" s="74">
        <v>150</v>
      </c>
      <c r="Q104" s="105">
        <f t="shared" si="8"/>
        <v>-1.25</v>
      </c>
      <c r="R104" s="73">
        <f t="shared" si="9"/>
        <v>24675</v>
      </c>
      <c r="S104" s="73"/>
      <c r="T104" s="79"/>
      <c r="U104" s="92"/>
      <c r="Y104" s="74">
        <v>93</v>
      </c>
      <c r="Z104" s="80">
        <v>45453</v>
      </c>
      <c r="AA104" s="74">
        <f t="shared" si="10"/>
        <v>-160</v>
      </c>
      <c r="AB104" s="76">
        <f t="shared" si="11"/>
        <v>11245</v>
      </c>
      <c r="AC104" s="77" t="str">
        <f t="shared" si="12"/>
        <v>Jun 2024</v>
      </c>
      <c r="BG104" s="86"/>
      <c r="BH104" s="87">
        <f t="shared" si="13"/>
        <v>1.3888888888888895E-2</v>
      </c>
      <c r="BI104" s="88">
        <f t="shared" si="14"/>
        <v>0</v>
      </c>
      <c r="BJ104" s="88">
        <f t="shared" si="15"/>
        <v>1</v>
      </c>
      <c r="BQ104" s="69"/>
    </row>
    <row r="105" spans="2:69" x14ac:dyDescent="0.25">
      <c r="B105" s="74">
        <v>93</v>
      </c>
      <c r="C105" s="80">
        <v>45434</v>
      </c>
      <c r="D105" s="74" t="s">
        <v>55</v>
      </c>
      <c r="E105" s="74" t="s">
        <v>139</v>
      </c>
      <c r="F105" s="82">
        <v>1280</v>
      </c>
      <c r="G105" s="82">
        <v>1285</v>
      </c>
      <c r="H105" s="83">
        <v>0.41319444444444442</v>
      </c>
      <c r="I105" s="83">
        <v>0.42708333333333331</v>
      </c>
      <c r="J105" s="74" t="s">
        <v>130</v>
      </c>
      <c r="K105" s="74" t="s">
        <v>132</v>
      </c>
      <c r="L105" s="73">
        <v>125</v>
      </c>
      <c r="M105" s="74">
        <v>40</v>
      </c>
      <c r="N105" s="74" t="s">
        <v>43</v>
      </c>
      <c r="O105" s="74" t="s">
        <v>58</v>
      </c>
      <c r="P105" s="74">
        <v>160</v>
      </c>
      <c r="Q105" s="105">
        <f t="shared" si="8"/>
        <v>1.28</v>
      </c>
      <c r="R105" s="73">
        <f t="shared" si="9"/>
        <v>24835</v>
      </c>
      <c r="S105" s="73"/>
      <c r="T105" s="79"/>
      <c r="U105" s="92"/>
      <c r="Y105" s="74">
        <v>94</v>
      </c>
      <c r="Z105" s="80">
        <v>45454</v>
      </c>
      <c r="AA105" s="74">
        <f t="shared" si="10"/>
        <v>180</v>
      </c>
      <c r="AB105" s="76">
        <f t="shared" si="11"/>
        <v>11425</v>
      </c>
      <c r="AC105" s="77" t="str">
        <f t="shared" si="12"/>
        <v>Jun 2024</v>
      </c>
      <c r="BG105" s="86"/>
      <c r="BH105" s="87">
        <f t="shared" si="13"/>
        <v>1.3888888888888895E-2</v>
      </c>
      <c r="BI105" s="88">
        <f t="shared" si="14"/>
        <v>1</v>
      </c>
      <c r="BJ105" s="88">
        <f t="shared" si="15"/>
        <v>0</v>
      </c>
      <c r="BQ105" s="69"/>
    </row>
    <row r="106" spans="2:69" x14ac:dyDescent="0.25">
      <c r="B106" s="74">
        <v>94</v>
      </c>
      <c r="C106" s="80">
        <v>45435</v>
      </c>
      <c r="D106" s="74" t="s">
        <v>57</v>
      </c>
      <c r="E106" s="74" t="s">
        <v>140</v>
      </c>
      <c r="F106" s="82">
        <v>385</v>
      </c>
      <c r="G106" s="82">
        <v>387.5</v>
      </c>
      <c r="H106" s="83">
        <v>0.4201388888888889</v>
      </c>
      <c r="I106" s="83">
        <v>0.43402777777777773</v>
      </c>
      <c r="J106" s="74" t="s">
        <v>50</v>
      </c>
      <c r="K106" s="74" t="s">
        <v>128</v>
      </c>
      <c r="L106" s="73">
        <v>110</v>
      </c>
      <c r="M106" s="74">
        <v>40</v>
      </c>
      <c r="N106" s="74" t="s">
        <v>43</v>
      </c>
      <c r="O106" s="74" t="s">
        <v>58</v>
      </c>
      <c r="P106" s="74">
        <v>170</v>
      </c>
      <c r="Q106" s="105">
        <f t="shared" si="8"/>
        <v>1.5454545454545454</v>
      </c>
      <c r="R106" s="73">
        <f t="shared" si="9"/>
        <v>25005</v>
      </c>
      <c r="S106" s="73"/>
      <c r="T106" s="79"/>
      <c r="U106" s="92"/>
      <c r="Y106" s="74">
        <v>95</v>
      </c>
      <c r="Z106" s="80">
        <v>45455</v>
      </c>
      <c r="AA106" s="74">
        <f t="shared" si="10"/>
        <v>150</v>
      </c>
      <c r="AB106" s="76">
        <f t="shared" si="11"/>
        <v>11575</v>
      </c>
      <c r="AC106" s="77" t="str">
        <f t="shared" si="12"/>
        <v>Jun 2024</v>
      </c>
      <c r="BG106" s="86"/>
      <c r="BH106" s="87">
        <f t="shared" si="13"/>
        <v>1.388888888888884E-2</v>
      </c>
      <c r="BI106" s="88">
        <f t="shared" si="14"/>
        <v>2</v>
      </c>
      <c r="BJ106" s="88">
        <f t="shared" si="15"/>
        <v>0</v>
      </c>
      <c r="BQ106" s="69"/>
    </row>
    <row r="107" spans="2:69" x14ac:dyDescent="0.25">
      <c r="B107" s="74">
        <v>95</v>
      </c>
      <c r="C107" s="80">
        <v>45436</v>
      </c>
      <c r="D107" s="74" t="s">
        <v>59</v>
      </c>
      <c r="E107" s="74" t="s">
        <v>141</v>
      </c>
      <c r="F107" s="82">
        <v>1520</v>
      </c>
      <c r="G107" s="82">
        <v>1525</v>
      </c>
      <c r="H107" s="83">
        <v>0.40972222222222227</v>
      </c>
      <c r="I107" s="83">
        <v>0.4236111111111111</v>
      </c>
      <c r="J107" s="74" t="s">
        <v>130</v>
      </c>
      <c r="K107" s="74" t="s">
        <v>135</v>
      </c>
      <c r="L107" s="73">
        <v>120</v>
      </c>
      <c r="M107" s="74">
        <v>40</v>
      </c>
      <c r="N107" s="74" t="s">
        <v>51</v>
      </c>
      <c r="O107" s="74" t="s">
        <v>52</v>
      </c>
      <c r="P107" s="74">
        <v>160</v>
      </c>
      <c r="Q107" s="105">
        <f t="shared" si="8"/>
        <v>-1.3333333333333333</v>
      </c>
      <c r="R107" s="73">
        <f t="shared" si="9"/>
        <v>25165</v>
      </c>
      <c r="S107" s="73"/>
      <c r="T107" s="79"/>
      <c r="U107" s="92"/>
      <c r="Y107" s="74">
        <v>96</v>
      </c>
      <c r="Z107" s="80">
        <v>45456</v>
      </c>
      <c r="AA107" s="74">
        <f t="shared" si="10"/>
        <v>-170</v>
      </c>
      <c r="AB107" s="76">
        <f t="shared" si="11"/>
        <v>11405</v>
      </c>
      <c r="AC107" s="77" t="str">
        <f t="shared" si="12"/>
        <v>Jun 2024</v>
      </c>
      <c r="BG107" s="86"/>
      <c r="BH107" s="87">
        <f t="shared" si="13"/>
        <v>1.388888888888884E-2</v>
      </c>
      <c r="BI107" s="88">
        <f t="shared" si="14"/>
        <v>0</v>
      </c>
      <c r="BJ107" s="88">
        <f t="shared" si="15"/>
        <v>1</v>
      </c>
      <c r="BQ107" s="69"/>
    </row>
    <row r="108" spans="2:69" x14ac:dyDescent="0.25">
      <c r="B108" s="74">
        <v>96</v>
      </c>
      <c r="C108" s="80">
        <v>45439</v>
      </c>
      <c r="D108" s="74" t="s">
        <v>48</v>
      </c>
      <c r="E108" s="74" t="s">
        <v>134</v>
      </c>
      <c r="F108" s="82">
        <v>3480</v>
      </c>
      <c r="G108" s="82">
        <v>3490</v>
      </c>
      <c r="H108" s="83">
        <v>0.40625</v>
      </c>
      <c r="I108" s="83">
        <v>0.4201388888888889</v>
      </c>
      <c r="J108" s="74" t="s">
        <v>50</v>
      </c>
      <c r="K108" s="74" t="s">
        <v>132</v>
      </c>
      <c r="L108" s="73">
        <v>115</v>
      </c>
      <c r="M108" s="74">
        <v>40</v>
      </c>
      <c r="N108" s="74" t="s">
        <v>51</v>
      </c>
      <c r="O108" s="74" t="s">
        <v>52</v>
      </c>
      <c r="P108" s="74">
        <v>170</v>
      </c>
      <c r="Q108" s="105">
        <f t="shared" si="8"/>
        <v>-1.4782608695652173</v>
      </c>
      <c r="R108" s="73">
        <f t="shared" si="9"/>
        <v>25335</v>
      </c>
      <c r="S108" s="73"/>
      <c r="T108" s="79"/>
      <c r="U108" s="92"/>
      <c r="Y108" s="74">
        <v>97</v>
      </c>
      <c r="Z108" s="80">
        <v>45457</v>
      </c>
      <c r="AA108" s="74">
        <f t="shared" si="10"/>
        <v>-160</v>
      </c>
      <c r="AB108" s="76">
        <f t="shared" si="11"/>
        <v>11245</v>
      </c>
      <c r="AC108" s="77" t="str">
        <f t="shared" si="12"/>
        <v>Jun 2024</v>
      </c>
      <c r="BG108" s="86"/>
      <c r="BH108" s="87">
        <f t="shared" si="13"/>
        <v>1.3888888888888895E-2</v>
      </c>
      <c r="BI108" s="88">
        <f t="shared" si="14"/>
        <v>0</v>
      </c>
      <c r="BJ108" s="88">
        <f t="shared" si="15"/>
        <v>2</v>
      </c>
      <c r="BQ108" s="69"/>
    </row>
    <row r="109" spans="2:69" x14ac:dyDescent="0.25">
      <c r="B109" s="74">
        <v>97</v>
      </c>
      <c r="C109" s="80">
        <v>45440</v>
      </c>
      <c r="D109" s="74" t="s">
        <v>54</v>
      </c>
      <c r="E109" s="74" t="s">
        <v>136</v>
      </c>
      <c r="F109" s="82">
        <v>645</v>
      </c>
      <c r="G109" s="82">
        <v>650</v>
      </c>
      <c r="H109" s="83">
        <v>0.41666666666666669</v>
      </c>
      <c r="I109" s="83">
        <v>0.43055555555555558</v>
      </c>
      <c r="J109" s="74" t="s">
        <v>130</v>
      </c>
      <c r="K109" s="74" t="s">
        <v>128</v>
      </c>
      <c r="L109" s="73">
        <v>130</v>
      </c>
      <c r="M109" s="74">
        <v>40</v>
      </c>
      <c r="N109" s="74" t="s">
        <v>43</v>
      </c>
      <c r="O109" s="74" t="s">
        <v>58</v>
      </c>
      <c r="P109" s="74">
        <v>180</v>
      </c>
      <c r="Q109" s="105">
        <f t="shared" si="8"/>
        <v>1.3846153846153846</v>
      </c>
      <c r="R109" s="96">
        <f t="shared" si="9"/>
        <v>25515</v>
      </c>
      <c r="Y109" s="74">
        <v>98</v>
      </c>
      <c r="Z109" s="80">
        <v>45460</v>
      </c>
      <c r="AA109" s="74">
        <f t="shared" si="10"/>
        <v>170</v>
      </c>
      <c r="AB109" s="76">
        <f t="shared" si="11"/>
        <v>11415</v>
      </c>
      <c r="AC109" s="77" t="str">
        <f t="shared" si="12"/>
        <v>Jun 2024</v>
      </c>
      <c r="BG109" s="86"/>
      <c r="BH109" s="87">
        <f t="shared" si="13"/>
        <v>1.3888888888888895E-2</v>
      </c>
      <c r="BI109" s="88">
        <f t="shared" si="14"/>
        <v>1</v>
      </c>
      <c r="BJ109" s="88">
        <f t="shared" si="15"/>
        <v>0</v>
      </c>
      <c r="BQ109" s="69"/>
    </row>
    <row r="110" spans="2:69" x14ac:dyDescent="0.25">
      <c r="B110" s="74">
        <v>98</v>
      </c>
      <c r="C110" s="80">
        <v>45441</v>
      </c>
      <c r="D110" s="74" t="s">
        <v>55</v>
      </c>
      <c r="E110" s="74" t="s">
        <v>139</v>
      </c>
      <c r="F110" s="82">
        <v>1285</v>
      </c>
      <c r="G110" s="82">
        <v>1290</v>
      </c>
      <c r="H110" s="83">
        <v>0.41319444444444442</v>
      </c>
      <c r="I110" s="83">
        <v>0.42708333333333331</v>
      </c>
      <c r="J110" s="74" t="s">
        <v>50</v>
      </c>
      <c r="K110" s="74" t="s">
        <v>135</v>
      </c>
      <c r="L110" s="73">
        <v>120</v>
      </c>
      <c r="M110" s="74">
        <v>40</v>
      </c>
      <c r="N110" s="74" t="s">
        <v>43</v>
      </c>
      <c r="O110" s="74" t="s">
        <v>58</v>
      </c>
      <c r="P110" s="74">
        <v>150</v>
      </c>
      <c r="Q110" s="105">
        <f t="shared" si="8"/>
        <v>1.25</v>
      </c>
      <c r="R110" s="96">
        <f t="shared" si="9"/>
        <v>25665</v>
      </c>
      <c r="Y110" s="74">
        <v>99</v>
      </c>
      <c r="Z110" s="80">
        <v>45461</v>
      </c>
      <c r="AA110" s="74">
        <f t="shared" si="10"/>
        <v>-160</v>
      </c>
      <c r="AB110" s="76">
        <f t="shared" si="11"/>
        <v>11255</v>
      </c>
      <c r="AC110" s="77" t="str">
        <f t="shared" si="12"/>
        <v>Jun 2024</v>
      </c>
      <c r="BG110" s="86"/>
      <c r="BH110" s="87">
        <f t="shared" si="13"/>
        <v>1.3888888888888895E-2</v>
      </c>
      <c r="BI110" s="88">
        <f t="shared" si="14"/>
        <v>2</v>
      </c>
      <c r="BJ110" s="88">
        <f t="shared" si="15"/>
        <v>0</v>
      </c>
      <c r="BQ110" s="69"/>
    </row>
    <row r="111" spans="2:69" x14ac:dyDescent="0.25">
      <c r="B111" s="74">
        <v>99</v>
      </c>
      <c r="C111" s="75">
        <v>45442</v>
      </c>
      <c r="D111" s="74" t="s">
        <v>57</v>
      </c>
      <c r="E111" s="74" t="s">
        <v>140</v>
      </c>
      <c r="F111" s="82">
        <v>387.5</v>
      </c>
      <c r="G111" s="82">
        <v>390</v>
      </c>
      <c r="H111" s="83">
        <v>0.4236111111111111</v>
      </c>
      <c r="I111" s="83">
        <v>0.4375</v>
      </c>
      <c r="J111" s="74" t="s">
        <v>130</v>
      </c>
      <c r="K111" s="74" t="s">
        <v>132</v>
      </c>
      <c r="L111" s="73">
        <v>125</v>
      </c>
      <c r="M111" s="74">
        <v>40</v>
      </c>
      <c r="N111" s="74" t="s">
        <v>51</v>
      </c>
      <c r="O111" s="74" t="s">
        <v>52</v>
      </c>
      <c r="P111" s="74">
        <v>160</v>
      </c>
      <c r="Q111" s="105">
        <f t="shared" si="8"/>
        <v>-1.28</v>
      </c>
      <c r="R111" s="96">
        <f t="shared" si="9"/>
        <v>25825</v>
      </c>
      <c r="Y111" s="74">
        <v>100</v>
      </c>
      <c r="Z111" s="80">
        <v>45462</v>
      </c>
      <c r="AA111" s="74">
        <f t="shared" si="10"/>
        <v>180</v>
      </c>
      <c r="AB111" s="76">
        <f t="shared" si="11"/>
        <v>11435</v>
      </c>
      <c r="AC111" s="77" t="str">
        <f t="shared" si="12"/>
        <v>Jun 2024</v>
      </c>
      <c r="BG111" s="86"/>
      <c r="BH111" s="87">
        <f t="shared" si="13"/>
        <v>1.3888888888888895E-2</v>
      </c>
      <c r="BI111" s="88">
        <f t="shared" si="14"/>
        <v>0</v>
      </c>
      <c r="BJ111" s="88">
        <f t="shared" si="15"/>
        <v>1</v>
      </c>
      <c r="BQ111" s="69"/>
    </row>
    <row r="112" spans="2:69" x14ac:dyDescent="0.25">
      <c r="B112" s="74">
        <v>100</v>
      </c>
      <c r="C112" s="75">
        <v>45443</v>
      </c>
      <c r="D112" s="74" t="s">
        <v>59</v>
      </c>
      <c r="E112" s="74" t="s">
        <v>141</v>
      </c>
      <c r="F112" s="82">
        <v>1525</v>
      </c>
      <c r="G112" s="82">
        <v>1530</v>
      </c>
      <c r="H112" s="83">
        <v>0.40972222222222227</v>
      </c>
      <c r="I112" s="83">
        <v>0.4236111111111111</v>
      </c>
      <c r="J112" s="74" t="s">
        <v>50</v>
      </c>
      <c r="K112" s="74" t="s">
        <v>128</v>
      </c>
      <c r="L112" s="73">
        <v>110</v>
      </c>
      <c r="M112" s="74">
        <v>40</v>
      </c>
      <c r="N112" s="74" t="s">
        <v>51</v>
      </c>
      <c r="O112" s="74" t="s">
        <v>52</v>
      </c>
      <c r="P112" s="74">
        <v>170</v>
      </c>
      <c r="Q112" s="105">
        <f t="shared" si="8"/>
        <v>-1.5454545454545454</v>
      </c>
      <c r="R112" s="96">
        <f t="shared" si="9"/>
        <v>25995</v>
      </c>
      <c r="Y112" s="74">
        <v>101</v>
      </c>
      <c r="Z112" s="80">
        <v>45463</v>
      </c>
      <c r="AA112" s="74">
        <f t="shared" si="10"/>
        <v>-150</v>
      </c>
      <c r="AB112" s="76">
        <f t="shared" si="11"/>
        <v>11285</v>
      </c>
      <c r="AC112" s="77" t="str">
        <f t="shared" si="12"/>
        <v>Jun 2024</v>
      </c>
      <c r="BG112" s="86"/>
      <c r="BH112" s="87">
        <f t="shared" si="13"/>
        <v>1.388888888888884E-2</v>
      </c>
      <c r="BI112" s="88">
        <f t="shared" si="14"/>
        <v>0</v>
      </c>
      <c r="BJ112" s="88">
        <f t="shared" si="15"/>
        <v>2</v>
      </c>
      <c r="BQ112" s="69"/>
    </row>
    <row r="113" spans="2:69" x14ac:dyDescent="0.25">
      <c r="B113" s="74">
        <v>101</v>
      </c>
      <c r="C113" s="75">
        <v>45446</v>
      </c>
      <c r="D113" s="74" t="s">
        <v>48</v>
      </c>
      <c r="E113" s="74" t="s">
        <v>134</v>
      </c>
      <c r="F113" s="82">
        <v>3490</v>
      </c>
      <c r="G113" s="82">
        <v>3500</v>
      </c>
      <c r="H113" s="83">
        <v>0.40625</v>
      </c>
      <c r="I113" s="83">
        <v>0.4201388888888889</v>
      </c>
      <c r="J113" s="74" t="s">
        <v>130</v>
      </c>
      <c r="K113" s="74" t="s">
        <v>135</v>
      </c>
      <c r="L113" s="73">
        <v>130</v>
      </c>
      <c r="M113" s="74">
        <v>40</v>
      </c>
      <c r="N113" s="74" t="s">
        <v>43</v>
      </c>
      <c r="O113" s="74" t="s">
        <v>58</v>
      </c>
      <c r="P113" s="74">
        <v>150</v>
      </c>
      <c r="Q113" s="105">
        <f t="shared" si="8"/>
        <v>1.1538461538461537</v>
      </c>
      <c r="R113" s="96">
        <f t="shared" si="9"/>
        <v>26145</v>
      </c>
      <c r="Y113" s="74">
        <v>102</v>
      </c>
      <c r="Z113" s="80">
        <v>45464</v>
      </c>
      <c r="AA113" s="74">
        <f t="shared" si="10"/>
        <v>160</v>
      </c>
      <c r="AB113" s="76">
        <f t="shared" si="11"/>
        <v>11445</v>
      </c>
      <c r="AC113" s="77" t="str">
        <f t="shared" si="12"/>
        <v>Jun 2024</v>
      </c>
      <c r="BG113" s="86"/>
      <c r="BH113" s="87">
        <f t="shared" si="13"/>
        <v>1.3888888888888895E-2</v>
      </c>
      <c r="BI113" s="88">
        <f t="shared" si="14"/>
        <v>1</v>
      </c>
      <c r="BJ113" s="88">
        <f t="shared" si="15"/>
        <v>0</v>
      </c>
      <c r="BQ113" s="69"/>
    </row>
    <row r="114" spans="2:69" x14ac:dyDescent="0.25">
      <c r="B114" s="74">
        <v>102</v>
      </c>
      <c r="C114" s="75">
        <v>45447</v>
      </c>
      <c r="D114" s="74" t="s">
        <v>54</v>
      </c>
      <c r="E114" s="74" t="s">
        <v>136</v>
      </c>
      <c r="F114" s="82">
        <v>650</v>
      </c>
      <c r="G114" s="82">
        <v>655</v>
      </c>
      <c r="H114" s="83">
        <v>0.41666666666666669</v>
      </c>
      <c r="I114" s="83">
        <v>0.43055555555555558</v>
      </c>
      <c r="J114" s="74" t="s">
        <v>50</v>
      </c>
      <c r="K114" s="74" t="s">
        <v>128</v>
      </c>
      <c r="L114" s="73">
        <v>120</v>
      </c>
      <c r="M114" s="74">
        <v>40</v>
      </c>
      <c r="N114" s="74" t="s">
        <v>43</v>
      </c>
      <c r="O114" s="74" t="s">
        <v>58</v>
      </c>
      <c r="P114" s="74">
        <v>160</v>
      </c>
      <c r="Q114" s="105">
        <f t="shared" si="8"/>
        <v>1.3333333333333333</v>
      </c>
      <c r="R114" s="96">
        <f t="shared" si="9"/>
        <v>26305</v>
      </c>
      <c r="Y114" s="74">
        <v>103</v>
      </c>
      <c r="Z114" s="80">
        <v>45467</v>
      </c>
      <c r="AA114" s="74">
        <f t="shared" si="10"/>
        <v>170</v>
      </c>
      <c r="AB114" s="76">
        <f t="shared" si="11"/>
        <v>11615</v>
      </c>
      <c r="AC114" s="77" t="str">
        <f t="shared" si="12"/>
        <v>Jun 2024</v>
      </c>
      <c r="BG114" s="86"/>
      <c r="BH114" s="87">
        <f t="shared" si="13"/>
        <v>1.3888888888888895E-2</v>
      </c>
      <c r="BI114" s="88">
        <f t="shared" si="14"/>
        <v>2</v>
      </c>
      <c r="BJ114" s="88">
        <f t="shared" si="15"/>
        <v>0</v>
      </c>
      <c r="BQ114" s="69"/>
    </row>
    <row r="115" spans="2:69" x14ac:dyDescent="0.25">
      <c r="B115" s="74">
        <v>103</v>
      </c>
      <c r="C115" s="75">
        <v>45448</v>
      </c>
      <c r="D115" s="74" t="s">
        <v>55</v>
      </c>
      <c r="E115" s="74" t="s">
        <v>139</v>
      </c>
      <c r="F115" s="82">
        <v>1290</v>
      </c>
      <c r="G115" s="82">
        <v>1295</v>
      </c>
      <c r="H115" s="83">
        <v>0.41319444444444442</v>
      </c>
      <c r="I115" s="83">
        <v>0.42708333333333331</v>
      </c>
      <c r="J115" s="74" t="s">
        <v>130</v>
      </c>
      <c r="K115" s="74" t="s">
        <v>132</v>
      </c>
      <c r="L115" s="73">
        <v>125</v>
      </c>
      <c r="M115" s="74">
        <v>40</v>
      </c>
      <c r="N115" s="74" t="s">
        <v>43</v>
      </c>
      <c r="O115" s="74" t="s">
        <v>58</v>
      </c>
      <c r="P115" s="74">
        <v>170</v>
      </c>
      <c r="Q115" s="105">
        <f t="shared" si="8"/>
        <v>1.36</v>
      </c>
      <c r="R115" s="96">
        <f t="shared" si="9"/>
        <v>26475</v>
      </c>
      <c r="Y115" s="74">
        <v>104</v>
      </c>
      <c r="Z115" s="80">
        <v>45468</v>
      </c>
      <c r="AA115" s="74">
        <f t="shared" si="10"/>
        <v>150</v>
      </c>
      <c r="AB115" s="76">
        <f t="shared" si="11"/>
        <v>11765</v>
      </c>
      <c r="AC115" s="77" t="str">
        <f t="shared" si="12"/>
        <v>Jun 2024</v>
      </c>
      <c r="BG115" s="86"/>
      <c r="BH115" s="87">
        <f t="shared" si="13"/>
        <v>1.3888888888888895E-2</v>
      </c>
      <c r="BI115" s="88">
        <f t="shared" si="14"/>
        <v>3</v>
      </c>
      <c r="BJ115" s="88">
        <f t="shared" si="15"/>
        <v>0</v>
      </c>
      <c r="BQ115" s="69"/>
    </row>
    <row r="116" spans="2:69" x14ac:dyDescent="0.25">
      <c r="B116" s="74">
        <v>104</v>
      </c>
      <c r="C116" s="75">
        <v>45449</v>
      </c>
      <c r="D116" s="74" t="s">
        <v>57</v>
      </c>
      <c r="E116" s="74" t="s">
        <v>140</v>
      </c>
      <c r="F116" s="82">
        <v>390</v>
      </c>
      <c r="G116" s="82">
        <v>392.5</v>
      </c>
      <c r="H116" s="83">
        <v>0.4201388888888889</v>
      </c>
      <c r="I116" s="83">
        <v>0.43402777777777773</v>
      </c>
      <c r="J116" s="74" t="s">
        <v>50</v>
      </c>
      <c r="K116" s="74" t="s">
        <v>135</v>
      </c>
      <c r="L116" s="73">
        <v>115</v>
      </c>
      <c r="M116" s="74">
        <v>40</v>
      </c>
      <c r="N116" s="74" t="s">
        <v>51</v>
      </c>
      <c r="O116" s="74" t="s">
        <v>52</v>
      </c>
      <c r="P116" s="74">
        <v>150</v>
      </c>
      <c r="Q116" s="105">
        <f t="shared" si="8"/>
        <v>-1.3043478260869565</v>
      </c>
      <c r="R116" s="96">
        <f t="shared" si="9"/>
        <v>26625</v>
      </c>
      <c r="Y116" s="74">
        <v>105</v>
      </c>
      <c r="Z116" s="80">
        <v>45469</v>
      </c>
      <c r="AA116" s="74">
        <f t="shared" si="10"/>
        <v>-160</v>
      </c>
      <c r="AB116" s="76">
        <f t="shared" si="11"/>
        <v>11605</v>
      </c>
      <c r="AC116" s="77" t="str">
        <f t="shared" si="12"/>
        <v>Jun 2024</v>
      </c>
      <c r="BG116" s="86"/>
      <c r="BH116" s="87">
        <f t="shared" si="13"/>
        <v>1.388888888888884E-2</v>
      </c>
      <c r="BI116" s="88">
        <f t="shared" si="14"/>
        <v>0</v>
      </c>
      <c r="BJ116" s="88">
        <f t="shared" si="15"/>
        <v>1</v>
      </c>
      <c r="BQ116" s="69"/>
    </row>
    <row r="117" spans="2:69" x14ac:dyDescent="0.25">
      <c r="B117" s="74">
        <v>105</v>
      </c>
      <c r="C117" s="75">
        <v>45450</v>
      </c>
      <c r="D117" s="74" t="s">
        <v>59</v>
      </c>
      <c r="E117" s="74" t="s">
        <v>141</v>
      </c>
      <c r="F117" s="82">
        <v>1530</v>
      </c>
      <c r="G117" s="82">
        <v>1535</v>
      </c>
      <c r="H117" s="83">
        <v>0.40972222222222227</v>
      </c>
      <c r="I117" s="83">
        <v>0.4236111111111111</v>
      </c>
      <c r="J117" s="74" t="s">
        <v>130</v>
      </c>
      <c r="K117" s="74" t="s">
        <v>128</v>
      </c>
      <c r="L117" s="73">
        <v>120</v>
      </c>
      <c r="M117" s="74">
        <v>40</v>
      </c>
      <c r="N117" s="74" t="s">
        <v>43</v>
      </c>
      <c r="O117" s="74" t="s">
        <v>58</v>
      </c>
      <c r="P117" s="74">
        <v>170</v>
      </c>
      <c r="Q117" s="105">
        <f t="shared" si="8"/>
        <v>1.4166666666666667</v>
      </c>
      <c r="R117" s="96">
        <f t="shared" si="9"/>
        <v>26795</v>
      </c>
      <c r="Y117" s="74">
        <v>106</v>
      </c>
      <c r="Z117" s="80">
        <v>45470</v>
      </c>
      <c r="AA117" s="74">
        <f t="shared" si="10"/>
        <v>-170</v>
      </c>
      <c r="AB117" s="76">
        <f t="shared" si="11"/>
        <v>11435</v>
      </c>
      <c r="AC117" s="77" t="str">
        <f t="shared" si="12"/>
        <v>Jun 2024</v>
      </c>
      <c r="BG117" s="86"/>
      <c r="BH117" s="87">
        <f t="shared" si="13"/>
        <v>1.388888888888884E-2</v>
      </c>
      <c r="BI117" s="88">
        <f t="shared" si="14"/>
        <v>1</v>
      </c>
      <c r="BJ117" s="88">
        <f t="shared" si="15"/>
        <v>0</v>
      </c>
      <c r="BQ117" s="69"/>
    </row>
    <row r="118" spans="2:69" x14ac:dyDescent="0.25">
      <c r="B118" s="74">
        <v>106</v>
      </c>
      <c r="C118" s="75">
        <v>45453</v>
      </c>
      <c r="D118" s="74" t="s">
        <v>48</v>
      </c>
      <c r="E118" s="74" t="s">
        <v>134</v>
      </c>
      <c r="F118" s="82">
        <v>3500</v>
      </c>
      <c r="G118" s="82">
        <v>3510</v>
      </c>
      <c r="H118" s="83">
        <v>0.40625</v>
      </c>
      <c r="I118" s="83">
        <v>0.4201388888888889</v>
      </c>
      <c r="J118" s="74" t="s">
        <v>50</v>
      </c>
      <c r="K118" s="74" t="s">
        <v>132</v>
      </c>
      <c r="L118" s="73">
        <v>115</v>
      </c>
      <c r="M118" s="74">
        <v>40</v>
      </c>
      <c r="N118" s="74" t="s">
        <v>51</v>
      </c>
      <c r="O118" s="74" t="s">
        <v>52</v>
      </c>
      <c r="P118" s="74">
        <v>160</v>
      </c>
      <c r="Q118" s="105">
        <f t="shared" si="8"/>
        <v>-1.3913043478260869</v>
      </c>
      <c r="R118" s="96">
        <f t="shared" si="9"/>
        <v>26955</v>
      </c>
      <c r="Y118" s="74">
        <v>107</v>
      </c>
      <c r="Z118" s="80">
        <v>45471</v>
      </c>
      <c r="AA118" s="74">
        <f t="shared" si="10"/>
        <v>170</v>
      </c>
      <c r="AB118" s="76">
        <f t="shared" si="11"/>
        <v>11605</v>
      </c>
      <c r="AC118" s="77" t="str">
        <f t="shared" si="12"/>
        <v>Jun 2024</v>
      </c>
      <c r="BG118" s="86"/>
      <c r="BH118" s="87">
        <f t="shared" si="13"/>
        <v>1.3888888888888895E-2</v>
      </c>
      <c r="BI118" s="88">
        <f t="shared" si="14"/>
        <v>0</v>
      </c>
      <c r="BJ118" s="88">
        <f t="shared" si="15"/>
        <v>1</v>
      </c>
      <c r="BQ118" s="69"/>
    </row>
    <row r="119" spans="2:69" x14ac:dyDescent="0.25">
      <c r="B119" s="74">
        <v>107</v>
      </c>
      <c r="C119" s="75">
        <v>45454</v>
      </c>
      <c r="D119" s="74" t="s">
        <v>54</v>
      </c>
      <c r="E119" s="74" t="s">
        <v>136</v>
      </c>
      <c r="F119" s="82">
        <v>655</v>
      </c>
      <c r="G119" s="82">
        <v>660</v>
      </c>
      <c r="H119" s="83">
        <v>0.41666666666666669</v>
      </c>
      <c r="I119" s="83">
        <v>0.43055555555555558</v>
      </c>
      <c r="J119" s="74" t="s">
        <v>130</v>
      </c>
      <c r="K119" s="74" t="s">
        <v>135</v>
      </c>
      <c r="L119" s="73">
        <v>125</v>
      </c>
      <c r="M119" s="74">
        <v>40</v>
      </c>
      <c r="N119" s="74" t="s">
        <v>43</v>
      </c>
      <c r="O119" s="74" t="s">
        <v>58</v>
      </c>
      <c r="P119" s="74">
        <v>180</v>
      </c>
      <c r="Q119" s="105">
        <f t="shared" si="8"/>
        <v>1.44</v>
      </c>
      <c r="R119" s="96">
        <f t="shared" si="9"/>
        <v>27135</v>
      </c>
      <c r="BG119" s="86"/>
      <c r="BH119" s="87">
        <f t="shared" si="13"/>
        <v>1.3888888888888895E-2</v>
      </c>
      <c r="BI119" s="88">
        <f t="shared" si="14"/>
        <v>1</v>
      </c>
      <c r="BJ119" s="88">
        <f t="shared" si="15"/>
        <v>0</v>
      </c>
      <c r="BQ119" s="69"/>
    </row>
    <row r="120" spans="2:69" x14ac:dyDescent="0.25">
      <c r="B120" s="74">
        <v>108</v>
      </c>
      <c r="C120" s="75">
        <v>45455</v>
      </c>
      <c r="D120" s="74" t="s">
        <v>55</v>
      </c>
      <c r="E120" s="74" t="s">
        <v>139</v>
      </c>
      <c r="F120" s="82">
        <v>1295</v>
      </c>
      <c r="G120" s="82">
        <v>1300</v>
      </c>
      <c r="H120" s="83">
        <v>0.41319444444444442</v>
      </c>
      <c r="I120" s="83">
        <v>0.42708333333333331</v>
      </c>
      <c r="J120" s="74" t="s">
        <v>50</v>
      </c>
      <c r="K120" s="74" t="s">
        <v>128</v>
      </c>
      <c r="L120" s="73">
        <v>120</v>
      </c>
      <c r="M120" s="74">
        <v>40</v>
      </c>
      <c r="N120" s="74" t="s">
        <v>43</v>
      </c>
      <c r="O120" s="74" t="s">
        <v>58</v>
      </c>
      <c r="P120" s="74">
        <v>150</v>
      </c>
      <c r="Q120" s="105">
        <f t="shared" si="8"/>
        <v>1.25</v>
      </c>
      <c r="R120" s="96">
        <f t="shared" si="9"/>
        <v>27285</v>
      </c>
      <c r="BG120" s="86"/>
      <c r="BH120" s="87">
        <f t="shared" si="13"/>
        <v>1.3888888888888895E-2</v>
      </c>
      <c r="BI120" s="88">
        <f t="shared" si="14"/>
        <v>2</v>
      </c>
      <c r="BJ120" s="88">
        <f t="shared" si="15"/>
        <v>0</v>
      </c>
      <c r="BQ120" s="69"/>
    </row>
    <row r="121" spans="2:69" x14ac:dyDescent="0.25">
      <c r="B121" s="74">
        <v>109</v>
      </c>
      <c r="C121" s="75">
        <v>45456</v>
      </c>
      <c r="D121" s="74" t="s">
        <v>57</v>
      </c>
      <c r="E121" s="74" t="s">
        <v>140</v>
      </c>
      <c r="F121" s="82">
        <v>392.5</v>
      </c>
      <c r="G121" s="82">
        <v>395</v>
      </c>
      <c r="H121" s="83">
        <v>0.4201388888888889</v>
      </c>
      <c r="I121" s="83">
        <v>0.43402777777777773</v>
      </c>
      <c r="J121" s="74" t="s">
        <v>130</v>
      </c>
      <c r="K121" s="74" t="s">
        <v>132</v>
      </c>
      <c r="L121" s="73">
        <v>125</v>
      </c>
      <c r="M121" s="74">
        <v>40</v>
      </c>
      <c r="N121" s="74" t="s">
        <v>51</v>
      </c>
      <c r="O121" s="74" t="s">
        <v>52</v>
      </c>
      <c r="P121" s="74">
        <v>170</v>
      </c>
      <c r="Q121" s="105">
        <f t="shared" si="8"/>
        <v>-1.36</v>
      </c>
      <c r="R121" s="96">
        <f t="shared" si="9"/>
        <v>27455</v>
      </c>
      <c r="BG121" s="86"/>
      <c r="BH121" s="87">
        <f t="shared" si="13"/>
        <v>1.388888888888884E-2</v>
      </c>
      <c r="BI121" s="88">
        <f t="shared" si="14"/>
        <v>0</v>
      </c>
      <c r="BJ121" s="88">
        <f t="shared" si="15"/>
        <v>1</v>
      </c>
      <c r="BQ121" s="69"/>
    </row>
    <row r="122" spans="2:69" x14ac:dyDescent="0.25">
      <c r="B122" s="74">
        <v>110</v>
      </c>
      <c r="C122" s="75">
        <v>45457</v>
      </c>
      <c r="D122" s="74" t="s">
        <v>59</v>
      </c>
      <c r="E122" s="74" t="s">
        <v>141</v>
      </c>
      <c r="F122" s="82">
        <v>1535</v>
      </c>
      <c r="G122" s="82">
        <v>1540</v>
      </c>
      <c r="H122" s="83">
        <v>0.40972222222222227</v>
      </c>
      <c r="I122" s="83">
        <v>0.4236111111111111</v>
      </c>
      <c r="J122" s="74" t="s">
        <v>50</v>
      </c>
      <c r="K122" s="74" t="s">
        <v>135</v>
      </c>
      <c r="L122" s="73">
        <v>110</v>
      </c>
      <c r="M122" s="74">
        <v>40</v>
      </c>
      <c r="N122" s="74" t="s">
        <v>51</v>
      </c>
      <c r="O122" s="74" t="s">
        <v>52</v>
      </c>
      <c r="P122" s="74">
        <v>160</v>
      </c>
      <c r="Q122" s="105">
        <f t="shared" si="8"/>
        <v>-1.4545454545454546</v>
      </c>
      <c r="R122" s="96">
        <f t="shared" si="9"/>
        <v>27615</v>
      </c>
      <c r="BG122" s="86"/>
      <c r="BH122" s="87">
        <f t="shared" si="13"/>
        <v>1.388888888888884E-2</v>
      </c>
      <c r="BI122" s="88">
        <f t="shared" si="14"/>
        <v>0</v>
      </c>
      <c r="BJ122" s="88">
        <f t="shared" si="15"/>
        <v>2</v>
      </c>
      <c r="BQ122" s="69"/>
    </row>
    <row r="123" spans="2:69" x14ac:dyDescent="0.25">
      <c r="B123" s="74">
        <v>111</v>
      </c>
      <c r="C123" s="75">
        <v>45460</v>
      </c>
      <c r="D123" s="74" t="s">
        <v>48</v>
      </c>
      <c r="E123" s="74" t="s">
        <v>134</v>
      </c>
      <c r="F123" s="82">
        <v>3510</v>
      </c>
      <c r="G123" s="82">
        <v>3520</v>
      </c>
      <c r="H123" s="83">
        <v>0.40625</v>
      </c>
      <c r="I123" s="83">
        <v>0.4201388888888889</v>
      </c>
      <c r="J123" s="74" t="s">
        <v>130</v>
      </c>
      <c r="K123" s="74" t="s">
        <v>128</v>
      </c>
      <c r="L123" s="73">
        <v>120</v>
      </c>
      <c r="M123" s="74">
        <v>40</v>
      </c>
      <c r="N123" s="74" t="s">
        <v>43</v>
      </c>
      <c r="O123" s="74" t="s">
        <v>58</v>
      </c>
      <c r="P123" s="74">
        <v>170</v>
      </c>
      <c r="Q123" s="105">
        <f t="shared" si="8"/>
        <v>1.4166666666666667</v>
      </c>
      <c r="R123" s="96">
        <f t="shared" si="9"/>
        <v>27785</v>
      </c>
      <c r="BG123" s="86"/>
      <c r="BH123" s="87">
        <f t="shared" si="13"/>
        <v>1.3888888888888895E-2</v>
      </c>
      <c r="BI123" s="88">
        <f t="shared" si="14"/>
        <v>1</v>
      </c>
      <c r="BJ123" s="88">
        <f t="shared" si="15"/>
        <v>0</v>
      </c>
      <c r="BQ123" s="69"/>
    </row>
    <row r="124" spans="2:69" x14ac:dyDescent="0.25">
      <c r="B124" s="74">
        <v>112</v>
      </c>
      <c r="C124" s="75">
        <v>45461</v>
      </c>
      <c r="D124" s="74" t="s">
        <v>54</v>
      </c>
      <c r="E124" s="74" t="s">
        <v>136</v>
      </c>
      <c r="F124" s="82">
        <v>660</v>
      </c>
      <c r="G124" s="82">
        <v>665</v>
      </c>
      <c r="H124" s="83">
        <v>0.41666666666666669</v>
      </c>
      <c r="I124" s="83">
        <v>0.43055555555555558</v>
      </c>
      <c r="J124" s="74" t="s">
        <v>50</v>
      </c>
      <c r="K124" s="74" t="s">
        <v>132</v>
      </c>
      <c r="L124" s="73">
        <v>115</v>
      </c>
      <c r="M124" s="74">
        <v>40</v>
      </c>
      <c r="N124" s="74" t="s">
        <v>51</v>
      </c>
      <c r="O124" s="74" t="s">
        <v>52</v>
      </c>
      <c r="P124" s="74">
        <v>160</v>
      </c>
      <c r="Q124" s="105">
        <f t="shared" si="8"/>
        <v>-1.3913043478260869</v>
      </c>
      <c r="R124" s="96">
        <f t="shared" si="9"/>
        <v>27945</v>
      </c>
      <c r="BG124" s="86"/>
      <c r="BH124" s="87">
        <f t="shared" si="13"/>
        <v>1.3888888888888895E-2</v>
      </c>
      <c r="BI124" s="88">
        <f t="shared" si="14"/>
        <v>0</v>
      </c>
      <c r="BJ124" s="88">
        <f t="shared" si="15"/>
        <v>1</v>
      </c>
      <c r="BQ124" s="69"/>
    </row>
    <row r="125" spans="2:69" x14ac:dyDescent="0.25">
      <c r="B125" s="74">
        <v>113</v>
      </c>
      <c r="C125" s="75">
        <v>45462</v>
      </c>
      <c r="D125" s="74" t="s">
        <v>55</v>
      </c>
      <c r="E125" s="74" t="s">
        <v>139</v>
      </c>
      <c r="F125" s="82">
        <v>1300</v>
      </c>
      <c r="G125" s="82">
        <v>1305</v>
      </c>
      <c r="H125" s="83">
        <v>0.41319444444444442</v>
      </c>
      <c r="I125" s="83">
        <v>0.42708333333333331</v>
      </c>
      <c r="J125" s="74" t="s">
        <v>130</v>
      </c>
      <c r="K125" s="74" t="s">
        <v>135</v>
      </c>
      <c r="L125" s="73">
        <v>120</v>
      </c>
      <c r="M125" s="74">
        <v>40</v>
      </c>
      <c r="N125" s="74" t="s">
        <v>43</v>
      </c>
      <c r="O125" s="74" t="s">
        <v>58</v>
      </c>
      <c r="P125" s="74">
        <v>180</v>
      </c>
      <c r="Q125" s="105">
        <f t="shared" si="8"/>
        <v>1.5</v>
      </c>
      <c r="R125" s="96">
        <f t="shared" si="9"/>
        <v>28125</v>
      </c>
      <c r="BG125" s="86"/>
      <c r="BH125" s="87">
        <f t="shared" si="13"/>
        <v>1.3888888888888895E-2</v>
      </c>
      <c r="BI125" s="88">
        <f t="shared" si="14"/>
        <v>1</v>
      </c>
      <c r="BJ125" s="88">
        <f t="shared" si="15"/>
        <v>0</v>
      </c>
      <c r="BQ125" s="69"/>
    </row>
    <row r="126" spans="2:69" x14ac:dyDescent="0.25">
      <c r="B126" s="74">
        <v>114</v>
      </c>
      <c r="C126" s="75">
        <v>45463</v>
      </c>
      <c r="D126" s="74" t="s">
        <v>57</v>
      </c>
      <c r="E126" s="74" t="s">
        <v>140</v>
      </c>
      <c r="F126" s="82">
        <v>395</v>
      </c>
      <c r="G126" s="82">
        <v>397.5</v>
      </c>
      <c r="H126" s="83">
        <v>0.4201388888888889</v>
      </c>
      <c r="I126" s="83">
        <v>0.43402777777777773</v>
      </c>
      <c r="J126" s="74" t="s">
        <v>50</v>
      </c>
      <c r="K126" s="74" t="s">
        <v>128</v>
      </c>
      <c r="L126" s="73">
        <v>110</v>
      </c>
      <c r="M126" s="74">
        <v>40</v>
      </c>
      <c r="N126" s="74" t="s">
        <v>51</v>
      </c>
      <c r="O126" s="74" t="s">
        <v>52</v>
      </c>
      <c r="P126" s="74">
        <v>150</v>
      </c>
      <c r="Q126" s="105">
        <f t="shared" si="8"/>
        <v>-1.3636363636363635</v>
      </c>
      <c r="R126" s="96">
        <f t="shared" si="9"/>
        <v>28275</v>
      </c>
      <c r="BG126" s="86"/>
      <c r="BH126" s="87">
        <f t="shared" si="13"/>
        <v>1.388888888888884E-2</v>
      </c>
      <c r="BI126" s="88">
        <f t="shared" si="14"/>
        <v>0</v>
      </c>
      <c r="BJ126" s="88">
        <f t="shared" si="15"/>
        <v>1</v>
      </c>
      <c r="BQ126" s="69"/>
    </row>
    <row r="127" spans="2:69" x14ac:dyDescent="0.25">
      <c r="B127" s="74">
        <v>115</v>
      </c>
      <c r="C127" s="75">
        <v>45464</v>
      </c>
      <c r="D127" s="74" t="s">
        <v>59</v>
      </c>
      <c r="E127" s="74" t="s">
        <v>141</v>
      </c>
      <c r="F127" s="82">
        <v>1540</v>
      </c>
      <c r="G127" s="82">
        <v>1545</v>
      </c>
      <c r="H127" s="83">
        <v>0.40972222222222227</v>
      </c>
      <c r="I127" s="83">
        <v>0.4236111111111111</v>
      </c>
      <c r="J127" s="74" t="s">
        <v>130</v>
      </c>
      <c r="K127" s="74" t="s">
        <v>132</v>
      </c>
      <c r="L127" s="73">
        <v>125</v>
      </c>
      <c r="M127" s="74">
        <v>40</v>
      </c>
      <c r="N127" s="74" t="s">
        <v>43</v>
      </c>
      <c r="O127" s="74" t="s">
        <v>58</v>
      </c>
      <c r="P127" s="74">
        <v>160</v>
      </c>
      <c r="Q127" s="105">
        <f t="shared" si="8"/>
        <v>1.28</v>
      </c>
      <c r="R127" s="96">
        <f t="shared" si="9"/>
        <v>28435</v>
      </c>
      <c r="BG127" s="86"/>
      <c r="BH127" s="87">
        <f t="shared" si="13"/>
        <v>1.388888888888884E-2</v>
      </c>
      <c r="BI127" s="88">
        <f t="shared" si="14"/>
        <v>1</v>
      </c>
      <c r="BJ127" s="88">
        <f t="shared" si="15"/>
        <v>0</v>
      </c>
      <c r="BQ127" s="69"/>
    </row>
    <row r="128" spans="2:69" x14ac:dyDescent="0.25">
      <c r="B128" s="74">
        <v>116</v>
      </c>
      <c r="C128" s="75">
        <v>45467</v>
      </c>
      <c r="D128" s="74" t="s">
        <v>48</v>
      </c>
      <c r="E128" s="74" t="s">
        <v>134</v>
      </c>
      <c r="F128" s="82">
        <v>3520</v>
      </c>
      <c r="G128" s="82">
        <v>3530</v>
      </c>
      <c r="H128" s="83">
        <v>0.40625</v>
      </c>
      <c r="I128" s="83">
        <v>0.4201388888888889</v>
      </c>
      <c r="J128" s="74" t="s">
        <v>50</v>
      </c>
      <c r="K128" s="74" t="s">
        <v>135</v>
      </c>
      <c r="L128" s="73">
        <v>130</v>
      </c>
      <c r="M128" s="74">
        <v>40</v>
      </c>
      <c r="N128" s="74" t="s">
        <v>43</v>
      </c>
      <c r="O128" s="74" t="s">
        <v>58</v>
      </c>
      <c r="P128" s="74">
        <v>170</v>
      </c>
      <c r="Q128" s="105">
        <f t="shared" si="8"/>
        <v>1.3076923076923077</v>
      </c>
      <c r="R128" s="96">
        <f t="shared" si="9"/>
        <v>28605</v>
      </c>
      <c r="BG128" s="86"/>
      <c r="BH128" s="87">
        <f t="shared" si="13"/>
        <v>1.3888888888888895E-2</v>
      </c>
      <c r="BI128" s="88">
        <f t="shared" si="14"/>
        <v>2</v>
      </c>
      <c r="BJ128" s="88">
        <f t="shared" si="15"/>
        <v>0</v>
      </c>
      <c r="BQ128" s="69"/>
    </row>
    <row r="129" spans="2:69" x14ac:dyDescent="0.25">
      <c r="B129" s="74">
        <v>117</v>
      </c>
      <c r="C129" s="75">
        <v>45468</v>
      </c>
      <c r="D129" s="74" t="s">
        <v>54</v>
      </c>
      <c r="E129" s="74" t="s">
        <v>136</v>
      </c>
      <c r="F129" s="82">
        <v>665</v>
      </c>
      <c r="G129" s="82">
        <v>670</v>
      </c>
      <c r="H129" s="83">
        <v>0.41666666666666669</v>
      </c>
      <c r="I129" s="83">
        <v>0.43055555555555558</v>
      </c>
      <c r="J129" s="74" t="s">
        <v>130</v>
      </c>
      <c r="K129" s="74" t="s">
        <v>128</v>
      </c>
      <c r="L129" s="73">
        <v>125</v>
      </c>
      <c r="M129" s="74">
        <v>40</v>
      </c>
      <c r="N129" s="74" t="s">
        <v>43</v>
      </c>
      <c r="O129" s="74" t="s">
        <v>58</v>
      </c>
      <c r="P129" s="74">
        <v>150</v>
      </c>
      <c r="Q129" s="105">
        <f t="shared" si="8"/>
        <v>1.2</v>
      </c>
      <c r="R129" s="96">
        <f t="shared" si="9"/>
        <v>28755</v>
      </c>
      <c r="BG129" s="86"/>
      <c r="BH129" s="87">
        <f t="shared" si="13"/>
        <v>1.3888888888888895E-2</v>
      </c>
      <c r="BI129" s="88">
        <f t="shared" si="14"/>
        <v>3</v>
      </c>
      <c r="BJ129" s="88">
        <f t="shared" si="15"/>
        <v>0</v>
      </c>
      <c r="BQ129" s="69"/>
    </row>
    <row r="130" spans="2:69" x14ac:dyDescent="0.25">
      <c r="B130" s="74">
        <v>118</v>
      </c>
      <c r="C130" s="75">
        <v>45469</v>
      </c>
      <c r="D130" s="74" t="s">
        <v>55</v>
      </c>
      <c r="E130" s="74" t="s">
        <v>139</v>
      </c>
      <c r="F130" s="82">
        <v>1305</v>
      </c>
      <c r="G130" s="82">
        <v>1310</v>
      </c>
      <c r="H130" s="83">
        <v>0.41319444444444442</v>
      </c>
      <c r="I130" s="83">
        <v>0.42708333333333331</v>
      </c>
      <c r="J130" s="74" t="s">
        <v>50</v>
      </c>
      <c r="K130" s="74" t="s">
        <v>132</v>
      </c>
      <c r="L130" s="73">
        <v>115</v>
      </c>
      <c r="M130" s="74">
        <v>40</v>
      </c>
      <c r="N130" s="74" t="s">
        <v>51</v>
      </c>
      <c r="O130" s="74" t="s">
        <v>52</v>
      </c>
      <c r="P130" s="74">
        <v>160</v>
      </c>
      <c r="Q130" s="105">
        <f t="shared" si="8"/>
        <v>-1.3913043478260869</v>
      </c>
      <c r="R130" s="96">
        <f t="shared" si="9"/>
        <v>28915</v>
      </c>
      <c r="BG130" s="86"/>
      <c r="BH130" s="87">
        <f t="shared" si="13"/>
        <v>1.3888888888888895E-2</v>
      </c>
      <c r="BI130" s="88">
        <f t="shared" si="14"/>
        <v>0</v>
      </c>
      <c r="BJ130" s="88">
        <f t="shared" si="15"/>
        <v>1</v>
      </c>
      <c r="BQ130" s="69"/>
    </row>
    <row r="131" spans="2:69" x14ac:dyDescent="0.25">
      <c r="B131" s="74">
        <v>119</v>
      </c>
      <c r="C131" s="75">
        <v>45470</v>
      </c>
      <c r="D131" s="74" t="s">
        <v>57</v>
      </c>
      <c r="E131" s="74" t="s">
        <v>140</v>
      </c>
      <c r="F131" s="82">
        <v>397.5</v>
      </c>
      <c r="G131" s="82">
        <v>400</v>
      </c>
      <c r="H131" s="83">
        <v>0.4201388888888889</v>
      </c>
      <c r="I131" s="83">
        <v>0.43402777777777773</v>
      </c>
      <c r="J131" s="74" t="s">
        <v>130</v>
      </c>
      <c r="K131" s="74" t="s">
        <v>135</v>
      </c>
      <c r="L131" s="73">
        <v>120</v>
      </c>
      <c r="M131" s="74">
        <v>40</v>
      </c>
      <c r="N131" s="74" t="s">
        <v>51</v>
      </c>
      <c r="O131" s="74" t="s">
        <v>52</v>
      </c>
      <c r="P131" s="74">
        <v>170</v>
      </c>
      <c r="Q131" s="105">
        <f t="shared" si="8"/>
        <v>-1.4166666666666667</v>
      </c>
      <c r="R131" s="96">
        <f t="shared" si="9"/>
        <v>29085</v>
      </c>
      <c r="BG131" s="86"/>
      <c r="BH131" s="87">
        <f t="shared" si="13"/>
        <v>1.388888888888884E-2</v>
      </c>
      <c r="BI131" s="88">
        <f t="shared" si="14"/>
        <v>0</v>
      </c>
      <c r="BJ131" s="88">
        <f t="shared" si="15"/>
        <v>2</v>
      </c>
      <c r="BQ131" s="69"/>
    </row>
    <row r="132" spans="2:69" x14ac:dyDescent="0.25">
      <c r="B132" s="74">
        <v>120</v>
      </c>
      <c r="C132" s="75">
        <v>45471</v>
      </c>
      <c r="D132" s="74" t="s">
        <v>59</v>
      </c>
      <c r="E132" s="74" t="s">
        <v>141</v>
      </c>
      <c r="F132" s="82">
        <v>1545</v>
      </c>
      <c r="G132" s="82">
        <v>1550</v>
      </c>
      <c r="H132" s="83">
        <v>0.40972222222222227</v>
      </c>
      <c r="I132" s="83">
        <v>0.4236111111111111</v>
      </c>
      <c r="J132" s="74" t="s">
        <v>50</v>
      </c>
      <c r="K132" s="74" t="s">
        <v>128</v>
      </c>
      <c r="L132" s="73">
        <v>110</v>
      </c>
      <c r="M132" s="74">
        <v>40</v>
      </c>
      <c r="N132" s="74" t="s">
        <v>43</v>
      </c>
      <c r="O132" s="74" t="s">
        <v>58</v>
      </c>
      <c r="P132" s="74">
        <v>170</v>
      </c>
      <c r="Q132" s="105">
        <f t="shared" si="8"/>
        <v>1.5454545454545454</v>
      </c>
      <c r="R132" s="96">
        <f t="shared" si="9"/>
        <v>29255</v>
      </c>
      <c r="BG132" s="86"/>
      <c r="BH132" s="87">
        <f t="shared" si="13"/>
        <v>1.388888888888884E-2</v>
      </c>
      <c r="BI132" s="88">
        <f t="shared" si="14"/>
        <v>1</v>
      </c>
      <c r="BJ132" s="88">
        <f t="shared" si="15"/>
        <v>0</v>
      </c>
      <c r="BQ132" s="69"/>
    </row>
    <row r="133" spans="2:69" x14ac:dyDescent="0.25">
      <c r="F133" s="82"/>
      <c r="G133" s="82"/>
      <c r="H133" s="83"/>
      <c r="I133" s="83"/>
      <c r="L133" s="73"/>
      <c r="BG133" s="86"/>
      <c r="BH133" s="87">
        <f t="shared" si="13"/>
        <v>0</v>
      </c>
      <c r="BI133" s="88">
        <f t="shared" si="14"/>
        <v>0</v>
      </c>
      <c r="BJ133" s="88">
        <f t="shared" si="15"/>
        <v>0</v>
      </c>
      <c r="BQ133" s="69"/>
    </row>
    <row r="134" spans="2:69" x14ac:dyDescent="0.25">
      <c r="F134" s="82"/>
      <c r="G134" s="82"/>
      <c r="H134" s="83"/>
      <c r="I134" s="83"/>
      <c r="L134" s="73"/>
      <c r="BG134" s="86"/>
      <c r="BH134" s="87">
        <f t="shared" si="13"/>
        <v>0</v>
      </c>
      <c r="BI134" s="88">
        <f t="shared" si="14"/>
        <v>0</v>
      </c>
      <c r="BJ134" s="88">
        <f t="shared" si="15"/>
        <v>0</v>
      </c>
      <c r="BQ134" s="69"/>
    </row>
    <row r="135" spans="2:69" x14ac:dyDescent="0.25">
      <c r="F135" s="82"/>
      <c r="G135" s="82"/>
      <c r="H135" s="83"/>
      <c r="I135" s="83"/>
      <c r="L135" s="73"/>
      <c r="BG135" s="86"/>
      <c r="BH135" s="87">
        <f t="shared" si="13"/>
        <v>0</v>
      </c>
      <c r="BI135" s="88">
        <f t="shared" si="14"/>
        <v>0</v>
      </c>
      <c r="BJ135" s="88">
        <f t="shared" si="15"/>
        <v>0</v>
      </c>
      <c r="BQ135" s="69"/>
    </row>
    <row r="136" spans="2:69" x14ac:dyDescent="0.25">
      <c r="F136" s="82"/>
      <c r="G136" s="82"/>
      <c r="H136" s="83"/>
      <c r="I136" s="83"/>
      <c r="L136" s="73"/>
      <c r="BG136" s="86"/>
      <c r="BH136" s="87">
        <f t="shared" si="13"/>
        <v>0</v>
      </c>
      <c r="BI136" s="88">
        <f t="shared" si="14"/>
        <v>0</v>
      </c>
      <c r="BJ136" s="88">
        <f t="shared" si="15"/>
        <v>0</v>
      </c>
      <c r="BQ136" s="69"/>
    </row>
    <row r="137" spans="2:69" x14ac:dyDescent="0.25">
      <c r="F137" s="82"/>
      <c r="G137" s="82"/>
      <c r="H137" s="83"/>
      <c r="I137" s="83"/>
      <c r="L137" s="73"/>
      <c r="BG137" s="86"/>
      <c r="BH137" s="87">
        <f t="shared" si="13"/>
        <v>0</v>
      </c>
      <c r="BI137" s="88">
        <f t="shared" si="14"/>
        <v>0</v>
      </c>
      <c r="BJ137" s="88">
        <f t="shared" si="15"/>
        <v>0</v>
      </c>
      <c r="BQ137" s="69"/>
    </row>
    <row r="138" spans="2:69" x14ac:dyDescent="0.25">
      <c r="F138" s="82"/>
      <c r="G138" s="82"/>
      <c r="H138" s="83"/>
      <c r="I138" s="83"/>
      <c r="L138" s="73"/>
      <c r="BG138" s="86"/>
      <c r="BH138" s="87">
        <f t="shared" si="13"/>
        <v>0</v>
      </c>
      <c r="BI138" s="88">
        <f t="shared" si="14"/>
        <v>0</v>
      </c>
      <c r="BJ138" s="88">
        <f t="shared" si="15"/>
        <v>0</v>
      </c>
      <c r="BQ138" s="69"/>
    </row>
    <row r="139" spans="2:69" x14ac:dyDescent="0.25">
      <c r="F139" s="82"/>
      <c r="G139" s="82"/>
      <c r="H139" s="83"/>
      <c r="I139" s="83"/>
      <c r="L139" s="73"/>
      <c r="BG139" s="86"/>
      <c r="BH139" s="87">
        <f t="shared" si="13"/>
        <v>0</v>
      </c>
      <c r="BI139" s="88">
        <f t="shared" si="14"/>
        <v>0</v>
      </c>
      <c r="BJ139" s="88">
        <f t="shared" si="15"/>
        <v>0</v>
      </c>
      <c r="BQ139" s="69"/>
    </row>
    <row r="140" spans="2:69" x14ac:dyDescent="0.25">
      <c r="F140" s="82"/>
      <c r="G140" s="82"/>
      <c r="H140" s="83"/>
      <c r="I140" s="83"/>
      <c r="L140" s="73"/>
      <c r="BG140" s="86"/>
      <c r="BH140" s="87">
        <f t="shared" si="13"/>
        <v>0</v>
      </c>
      <c r="BI140" s="88">
        <f t="shared" si="14"/>
        <v>0</v>
      </c>
      <c r="BJ140" s="88">
        <f t="shared" si="15"/>
        <v>0</v>
      </c>
      <c r="BQ140" s="69"/>
    </row>
    <row r="141" spans="2:69" x14ac:dyDescent="0.25">
      <c r="F141" s="82"/>
      <c r="G141" s="82"/>
      <c r="H141" s="83"/>
      <c r="I141" s="83"/>
      <c r="L141" s="73"/>
      <c r="BG141" s="86"/>
      <c r="BH141" s="87">
        <f t="shared" si="13"/>
        <v>0</v>
      </c>
      <c r="BI141" s="88">
        <f t="shared" si="14"/>
        <v>0</v>
      </c>
      <c r="BJ141" s="88">
        <f t="shared" si="15"/>
        <v>0</v>
      </c>
      <c r="BQ141" s="69"/>
    </row>
    <row r="142" spans="2:69" x14ac:dyDescent="0.25">
      <c r="F142" s="82"/>
      <c r="G142" s="82"/>
      <c r="H142" s="83"/>
      <c r="I142" s="83"/>
      <c r="L142" s="73"/>
      <c r="BG142" s="86"/>
      <c r="BH142" s="87">
        <f t="shared" ref="BH142:BH205" si="16">$I142-$H142</f>
        <v>0</v>
      </c>
      <c r="BI142" s="88">
        <f t="shared" ref="BI142:BI205" si="17">IF($N142="W", IF(ROW()=1, 1, BI141+1), 0)</f>
        <v>0</v>
      </c>
      <c r="BJ142" s="88">
        <f t="shared" ref="BJ142:BJ205" si="18">IF($N142="l", IF(ROW()=1, 1, BJ141+1), 0)</f>
        <v>0</v>
      </c>
      <c r="BQ142" s="69"/>
    </row>
    <row r="143" spans="2:69" x14ac:dyDescent="0.25">
      <c r="F143" s="82"/>
      <c r="G143" s="82"/>
      <c r="H143" s="83"/>
      <c r="I143" s="83"/>
      <c r="L143" s="73"/>
      <c r="BG143" s="86"/>
      <c r="BH143" s="87">
        <f t="shared" si="16"/>
        <v>0</v>
      </c>
      <c r="BI143" s="88">
        <f t="shared" si="17"/>
        <v>0</v>
      </c>
      <c r="BJ143" s="88">
        <f t="shared" si="18"/>
        <v>0</v>
      </c>
      <c r="BQ143" s="69"/>
    </row>
    <row r="144" spans="2:69" x14ac:dyDescent="0.25">
      <c r="F144" s="82"/>
      <c r="G144" s="82"/>
      <c r="H144" s="83"/>
      <c r="I144" s="83"/>
      <c r="L144" s="73"/>
      <c r="BG144" s="86"/>
      <c r="BH144" s="87">
        <f t="shared" si="16"/>
        <v>0</v>
      </c>
      <c r="BI144" s="88">
        <f t="shared" si="17"/>
        <v>0</v>
      </c>
      <c r="BJ144" s="88">
        <f t="shared" si="18"/>
        <v>0</v>
      </c>
      <c r="BQ144" s="69"/>
    </row>
    <row r="145" spans="6:69" x14ac:dyDescent="0.25">
      <c r="F145" s="82"/>
      <c r="G145" s="82"/>
      <c r="H145" s="83"/>
      <c r="I145" s="83"/>
      <c r="L145" s="73"/>
      <c r="BG145" s="86"/>
      <c r="BH145" s="87">
        <f t="shared" si="16"/>
        <v>0</v>
      </c>
      <c r="BI145" s="88">
        <f t="shared" si="17"/>
        <v>0</v>
      </c>
      <c r="BJ145" s="88">
        <f t="shared" si="18"/>
        <v>0</v>
      </c>
      <c r="BQ145" s="69"/>
    </row>
    <row r="146" spans="6:69" x14ac:dyDescent="0.25">
      <c r="F146" s="82"/>
      <c r="G146" s="82"/>
      <c r="H146" s="83"/>
      <c r="I146" s="83"/>
      <c r="L146" s="73"/>
      <c r="BG146" s="86"/>
      <c r="BH146" s="87">
        <f t="shared" si="16"/>
        <v>0</v>
      </c>
      <c r="BI146" s="88">
        <f t="shared" si="17"/>
        <v>0</v>
      </c>
      <c r="BJ146" s="88">
        <f t="shared" si="18"/>
        <v>0</v>
      </c>
      <c r="BQ146" s="69"/>
    </row>
    <row r="147" spans="6:69" x14ac:dyDescent="0.25">
      <c r="F147" s="82"/>
      <c r="G147" s="82"/>
      <c r="H147" s="83"/>
      <c r="I147" s="83"/>
      <c r="L147" s="73"/>
      <c r="BG147" s="86"/>
      <c r="BH147" s="87">
        <f t="shared" si="16"/>
        <v>0</v>
      </c>
      <c r="BI147" s="88">
        <f t="shared" si="17"/>
        <v>0</v>
      </c>
      <c r="BJ147" s="88">
        <f t="shared" si="18"/>
        <v>0</v>
      </c>
      <c r="BQ147" s="69"/>
    </row>
    <row r="148" spans="6:69" x14ac:dyDescent="0.25">
      <c r="F148" s="82"/>
      <c r="G148" s="82"/>
      <c r="H148" s="83"/>
      <c r="I148" s="83"/>
      <c r="L148" s="73"/>
      <c r="BG148" s="86"/>
      <c r="BH148" s="87">
        <f t="shared" si="16"/>
        <v>0</v>
      </c>
      <c r="BI148" s="88">
        <f t="shared" si="17"/>
        <v>0</v>
      </c>
      <c r="BJ148" s="88">
        <f t="shared" si="18"/>
        <v>0</v>
      </c>
      <c r="BQ148" s="69"/>
    </row>
    <row r="149" spans="6:69" x14ac:dyDescent="0.25">
      <c r="F149" s="82"/>
      <c r="G149" s="82"/>
      <c r="H149" s="83"/>
      <c r="I149" s="83"/>
      <c r="L149" s="73"/>
      <c r="BG149" s="86"/>
      <c r="BH149" s="87">
        <f t="shared" si="16"/>
        <v>0</v>
      </c>
      <c r="BI149" s="88">
        <f t="shared" si="17"/>
        <v>0</v>
      </c>
      <c r="BJ149" s="88">
        <f t="shared" si="18"/>
        <v>0</v>
      </c>
      <c r="BQ149" s="69"/>
    </row>
    <row r="150" spans="6:69" x14ac:dyDescent="0.25">
      <c r="F150" s="82"/>
      <c r="G150" s="82"/>
      <c r="H150" s="83"/>
      <c r="I150" s="83"/>
      <c r="L150" s="73"/>
      <c r="BG150" s="86"/>
      <c r="BH150" s="87">
        <f t="shared" si="16"/>
        <v>0</v>
      </c>
      <c r="BI150" s="88">
        <f t="shared" si="17"/>
        <v>0</v>
      </c>
      <c r="BJ150" s="88">
        <f t="shared" si="18"/>
        <v>0</v>
      </c>
      <c r="BQ150" s="69"/>
    </row>
    <row r="151" spans="6:69" x14ac:dyDescent="0.25">
      <c r="F151" s="82"/>
      <c r="G151" s="82"/>
      <c r="H151" s="83"/>
      <c r="I151" s="83"/>
      <c r="L151" s="73"/>
      <c r="BG151" s="86"/>
      <c r="BH151" s="87">
        <f t="shared" si="16"/>
        <v>0</v>
      </c>
      <c r="BI151" s="88">
        <f t="shared" si="17"/>
        <v>0</v>
      </c>
      <c r="BJ151" s="88">
        <f t="shared" si="18"/>
        <v>0</v>
      </c>
      <c r="BQ151" s="69"/>
    </row>
    <row r="152" spans="6:69" x14ac:dyDescent="0.25">
      <c r="F152" s="82"/>
      <c r="G152" s="82"/>
      <c r="H152" s="83"/>
      <c r="I152" s="83"/>
      <c r="L152" s="73"/>
      <c r="BG152" s="86"/>
      <c r="BH152" s="87">
        <f t="shared" si="16"/>
        <v>0</v>
      </c>
      <c r="BI152" s="88">
        <f t="shared" si="17"/>
        <v>0</v>
      </c>
      <c r="BJ152" s="88">
        <f t="shared" si="18"/>
        <v>0</v>
      </c>
      <c r="BQ152" s="69"/>
    </row>
    <row r="153" spans="6:69" x14ac:dyDescent="0.25">
      <c r="F153" s="82"/>
      <c r="G153" s="82"/>
      <c r="H153" s="83"/>
      <c r="I153" s="83"/>
      <c r="L153" s="73"/>
      <c r="BG153" s="86"/>
      <c r="BH153" s="87">
        <f t="shared" si="16"/>
        <v>0</v>
      </c>
      <c r="BI153" s="88">
        <f t="shared" si="17"/>
        <v>0</v>
      </c>
      <c r="BJ153" s="88">
        <f t="shared" si="18"/>
        <v>0</v>
      </c>
      <c r="BQ153" s="69"/>
    </row>
    <row r="154" spans="6:69" x14ac:dyDescent="0.25">
      <c r="F154" s="82"/>
      <c r="G154" s="82"/>
      <c r="H154" s="83"/>
      <c r="I154" s="83"/>
      <c r="L154" s="73"/>
      <c r="BG154" s="86"/>
      <c r="BH154" s="87">
        <f t="shared" si="16"/>
        <v>0</v>
      </c>
      <c r="BI154" s="88">
        <f t="shared" si="17"/>
        <v>0</v>
      </c>
      <c r="BJ154" s="88">
        <f t="shared" si="18"/>
        <v>0</v>
      </c>
      <c r="BQ154" s="69"/>
    </row>
    <row r="155" spans="6:69" x14ac:dyDescent="0.25">
      <c r="F155" s="82"/>
      <c r="G155" s="82"/>
      <c r="H155" s="83"/>
      <c r="I155" s="83"/>
      <c r="L155" s="73"/>
      <c r="BG155" s="86"/>
      <c r="BH155" s="87">
        <f t="shared" si="16"/>
        <v>0</v>
      </c>
      <c r="BI155" s="88">
        <f t="shared" si="17"/>
        <v>0</v>
      </c>
      <c r="BJ155" s="88">
        <f t="shared" si="18"/>
        <v>0</v>
      </c>
      <c r="BQ155" s="69"/>
    </row>
    <row r="156" spans="6:69" x14ac:dyDescent="0.25">
      <c r="F156" s="82"/>
      <c r="G156" s="82"/>
      <c r="H156" s="83"/>
      <c r="I156" s="83"/>
      <c r="L156" s="73"/>
      <c r="BG156" s="86"/>
      <c r="BH156" s="87">
        <f t="shared" si="16"/>
        <v>0</v>
      </c>
      <c r="BI156" s="88">
        <f t="shared" si="17"/>
        <v>0</v>
      </c>
      <c r="BJ156" s="88">
        <f t="shared" si="18"/>
        <v>0</v>
      </c>
      <c r="BQ156" s="69"/>
    </row>
    <row r="157" spans="6:69" x14ac:dyDescent="0.25">
      <c r="F157" s="82"/>
      <c r="G157" s="82"/>
      <c r="H157" s="83"/>
      <c r="I157" s="83"/>
      <c r="L157" s="73"/>
      <c r="BG157" s="86"/>
      <c r="BH157" s="87">
        <f t="shared" si="16"/>
        <v>0</v>
      </c>
      <c r="BI157" s="88">
        <f t="shared" si="17"/>
        <v>0</v>
      </c>
      <c r="BJ157" s="88">
        <f t="shared" si="18"/>
        <v>0</v>
      </c>
      <c r="BQ157" s="69"/>
    </row>
    <row r="158" spans="6:69" x14ac:dyDescent="0.25">
      <c r="F158" s="82"/>
      <c r="G158" s="82"/>
      <c r="H158" s="83"/>
      <c r="I158" s="83"/>
      <c r="L158" s="73"/>
      <c r="BG158" s="86"/>
      <c r="BH158" s="87">
        <f t="shared" si="16"/>
        <v>0</v>
      </c>
      <c r="BI158" s="88">
        <f t="shared" si="17"/>
        <v>0</v>
      </c>
      <c r="BJ158" s="88">
        <f t="shared" si="18"/>
        <v>0</v>
      </c>
      <c r="BQ158" s="69"/>
    </row>
    <row r="159" spans="6:69" x14ac:dyDescent="0.25">
      <c r="F159" s="82"/>
      <c r="G159" s="82"/>
      <c r="H159" s="83"/>
      <c r="I159" s="83"/>
      <c r="L159" s="73"/>
      <c r="BG159" s="86"/>
      <c r="BH159" s="87">
        <f t="shared" si="16"/>
        <v>0</v>
      </c>
      <c r="BI159" s="88">
        <f t="shared" si="17"/>
        <v>0</v>
      </c>
      <c r="BJ159" s="88">
        <f t="shared" si="18"/>
        <v>0</v>
      </c>
      <c r="BQ159" s="69"/>
    </row>
    <row r="160" spans="6:69" x14ac:dyDescent="0.25">
      <c r="F160" s="82"/>
      <c r="G160" s="82"/>
      <c r="H160" s="83"/>
      <c r="I160" s="83"/>
      <c r="L160" s="73"/>
      <c r="BG160" s="86"/>
      <c r="BH160" s="87">
        <f t="shared" si="16"/>
        <v>0</v>
      </c>
      <c r="BI160" s="88">
        <f t="shared" si="17"/>
        <v>0</v>
      </c>
      <c r="BJ160" s="88">
        <f t="shared" si="18"/>
        <v>0</v>
      </c>
      <c r="BQ160" s="69"/>
    </row>
    <row r="161" spans="6:69" x14ac:dyDescent="0.25">
      <c r="F161" s="82"/>
      <c r="G161" s="82"/>
      <c r="H161" s="83"/>
      <c r="I161" s="83"/>
      <c r="L161" s="73"/>
      <c r="BG161" s="86"/>
      <c r="BH161" s="87">
        <f t="shared" si="16"/>
        <v>0</v>
      </c>
      <c r="BI161" s="88">
        <f t="shared" si="17"/>
        <v>0</v>
      </c>
      <c r="BJ161" s="88">
        <f t="shared" si="18"/>
        <v>0</v>
      </c>
      <c r="BQ161" s="69"/>
    </row>
    <row r="162" spans="6:69" x14ac:dyDescent="0.25">
      <c r="F162" s="82"/>
      <c r="G162" s="82"/>
      <c r="H162" s="83"/>
      <c r="I162" s="83"/>
      <c r="L162" s="73"/>
      <c r="BG162" s="86"/>
      <c r="BH162" s="87">
        <f t="shared" si="16"/>
        <v>0</v>
      </c>
      <c r="BI162" s="88">
        <f t="shared" si="17"/>
        <v>0</v>
      </c>
      <c r="BJ162" s="88">
        <f t="shared" si="18"/>
        <v>0</v>
      </c>
      <c r="BQ162" s="69"/>
    </row>
    <row r="163" spans="6:69" x14ac:dyDescent="0.25">
      <c r="F163" s="82"/>
      <c r="G163" s="82"/>
      <c r="H163" s="83"/>
      <c r="I163" s="83"/>
      <c r="L163" s="73"/>
      <c r="BG163" s="86"/>
      <c r="BH163" s="87">
        <f t="shared" si="16"/>
        <v>0</v>
      </c>
      <c r="BI163" s="88">
        <f t="shared" si="17"/>
        <v>0</v>
      </c>
      <c r="BJ163" s="88">
        <f t="shared" si="18"/>
        <v>0</v>
      </c>
      <c r="BQ163" s="69"/>
    </row>
    <row r="164" spans="6:69" x14ac:dyDescent="0.25">
      <c r="F164" s="82"/>
      <c r="G164" s="82"/>
      <c r="H164" s="83"/>
      <c r="I164" s="83"/>
      <c r="L164" s="73"/>
      <c r="BG164" s="86"/>
      <c r="BH164" s="87">
        <f t="shared" si="16"/>
        <v>0</v>
      </c>
      <c r="BI164" s="88">
        <f t="shared" si="17"/>
        <v>0</v>
      </c>
      <c r="BJ164" s="88">
        <f t="shared" si="18"/>
        <v>0</v>
      </c>
      <c r="BQ164" s="69"/>
    </row>
    <row r="165" spans="6:69" x14ac:dyDescent="0.25">
      <c r="F165" s="82"/>
      <c r="G165" s="82"/>
      <c r="H165" s="83"/>
      <c r="I165" s="83"/>
      <c r="L165" s="73"/>
      <c r="BG165" s="86"/>
      <c r="BH165" s="87">
        <f t="shared" si="16"/>
        <v>0</v>
      </c>
      <c r="BI165" s="88">
        <f t="shared" si="17"/>
        <v>0</v>
      </c>
      <c r="BJ165" s="88">
        <f t="shared" si="18"/>
        <v>0</v>
      </c>
      <c r="BQ165" s="69"/>
    </row>
    <row r="166" spans="6:69" x14ac:dyDescent="0.25">
      <c r="F166" s="82"/>
      <c r="G166" s="82"/>
      <c r="H166" s="83"/>
      <c r="I166" s="83"/>
      <c r="L166" s="73"/>
      <c r="BG166" s="86"/>
      <c r="BH166" s="87">
        <f t="shared" si="16"/>
        <v>0</v>
      </c>
      <c r="BI166" s="88">
        <f t="shared" si="17"/>
        <v>0</v>
      </c>
      <c r="BJ166" s="88">
        <f t="shared" si="18"/>
        <v>0</v>
      </c>
      <c r="BQ166" s="69"/>
    </row>
    <row r="167" spans="6:69" x14ac:dyDescent="0.25">
      <c r="F167" s="82"/>
      <c r="G167" s="82"/>
      <c r="H167" s="83"/>
      <c r="I167" s="83"/>
      <c r="L167" s="73"/>
      <c r="BG167" s="86"/>
      <c r="BH167" s="87">
        <f t="shared" si="16"/>
        <v>0</v>
      </c>
      <c r="BI167" s="88">
        <f t="shared" si="17"/>
        <v>0</v>
      </c>
      <c r="BJ167" s="88">
        <f t="shared" si="18"/>
        <v>0</v>
      </c>
      <c r="BQ167" s="69"/>
    </row>
    <row r="168" spans="6:69" x14ac:dyDescent="0.25">
      <c r="F168" s="82"/>
      <c r="G168" s="82"/>
      <c r="H168" s="83"/>
      <c r="I168" s="83"/>
      <c r="L168" s="73"/>
      <c r="BG168" s="86"/>
      <c r="BH168" s="87">
        <f t="shared" si="16"/>
        <v>0</v>
      </c>
      <c r="BI168" s="88">
        <f t="shared" si="17"/>
        <v>0</v>
      </c>
      <c r="BJ168" s="88">
        <f t="shared" si="18"/>
        <v>0</v>
      </c>
      <c r="BQ168" s="69"/>
    </row>
    <row r="169" spans="6:69" x14ac:dyDescent="0.25">
      <c r="F169" s="82"/>
      <c r="G169" s="82"/>
      <c r="H169" s="83"/>
      <c r="I169" s="83"/>
      <c r="L169" s="73"/>
      <c r="BG169" s="86"/>
      <c r="BH169" s="87">
        <f t="shared" si="16"/>
        <v>0</v>
      </c>
      <c r="BI169" s="88">
        <f t="shared" si="17"/>
        <v>0</v>
      </c>
      <c r="BJ169" s="88">
        <f t="shared" si="18"/>
        <v>0</v>
      </c>
      <c r="BQ169" s="69"/>
    </row>
    <row r="170" spans="6:69" x14ac:dyDescent="0.25">
      <c r="F170" s="82"/>
      <c r="G170" s="82"/>
      <c r="H170" s="83"/>
      <c r="I170" s="83"/>
      <c r="L170" s="73"/>
      <c r="BG170" s="86"/>
      <c r="BH170" s="87">
        <f t="shared" si="16"/>
        <v>0</v>
      </c>
      <c r="BI170" s="88">
        <f t="shared" si="17"/>
        <v>0</v>
      </c>
      <c r="BJ170" s="88">
        <f t="shared" si="18"/>
        <v>0</v>
      </c>
      <c r="BQ170" s="69"/>
    </row>
    <row r="171" spans="6:69" x14ac:dyDescent="0.25">
      <c r="F171" s="82"/>
      <c r="G171" s="82"/>
      <c r="H171" s="83"/>
      <c r="I171" s="83"/>
      <c r="L171" s="73"/>
      <c r="BG171" s="86"/>
      <c r="BH171" s="87">
        <f t="shared" si="16"/>
        <v>0</v>
      </c>
      <c r="BI171" s="88">
        <f t="shared" si="17"/>
        <v>0</v>
      </c>
      <c r="BJ171" s="88">
        <f t="shared" si="18"/>
        <v>0</v>
      </c>
      <c r="BQ171" s="69"/>
    </row>
    <row r="172" spans="6:69" x14ac:dyDescent="0.25">
      <c r="F172" s="82"/>
      <c r="G172" s="82"/>
      <c r="H172" s="83"/>
      <c r="I172" s="83"/>
      <c r="L172" s="73"/>
      <c r="BG172" s="86"/>
      <c r="BH172" s="87">
        <f t="shared" si="16"/>
        <v>0</v>
      </c>
      <c r="BI172" s="88">
        <f t="shared" si="17"/>
        <v>0</v>
      </c>
      <c r="BJ172" s="88">
        <f t="shared" si="18"/>
        <v>0</v>
      </c>
      <c r="BQ172" s="69"/>
    </row>
    <row r="173" spans="6:69" x14ac:dyDescent="0.25">
      <c r="F173" s="82"/>
      <c r="G173" s="82"/>
      <c r="H173" s="83"/>
      <c r="I173" s="83"/>
      <c r="L173" s="73"/>
      <c r="BG173" s="86"/>
      <c r="BH173" s="87">
        <f t="shared" si="16"/>
        <v>0</v>
      </c>
      <c r="BI173" s="88">
        <f t="shared" si="17"/>
        <v>0</v>
      </c>
      <c r="BJ173" s="88">
        <f t="shared" si="18"/>
        <v>0</v>
      </c>
      <c r="BQ173" s="69"/>
    </row>
    <row r="174" spans="6:69" x14ac:dyDescent="0.25">
      <c r="F174" s="82"/>
      <c r="G174" s="82"/>
      <c r="H174" s="83"/>
      <c r="I174" s="83"/>
      <c r="L174" s="73"/>
      <c r="BG174" s="86"/>
      <c r="BH174" s="87">
        <f t="shared" si="16"/>
        <v>0</v>
      </c>
      <c r="BI174" s="88">
        <f t="shared" si="17"/>
        <v>0</v>
      </c>
      <c r="BJ174" s="88">
        <f t="shared" si="18"/>
        <v>0</v>
      </c>
      <c r="BQ174" s="69"/>
    </row>
    <row r="175" spans="6:69" x14ac:dyDescent="0.25">
      <c r="F175" s="82"/>
      <c r="G175" s="82"/>
      <c r="H175" s="83"/>
      <c r="I175" s="83"/>
      <c r="L175" s="73"/>
      <c r="BG175" s="86"/>
      <c r="BH175" s="87">
        <f t="shared" si="16"/>
        <v>0</v>
      </c>
      <c r="BI175" s="88">
        <f t="shared" si="17"/>
        <v>0</v>
      </c>
      <c r="BJ175" s="88">
        <f t="shared" si="18"/>
        <v>0</v>
      </c>
      <c r="BQ175" s="69"/>
    </row>
    <row r="176" spans="6:69" x14ac:dyDescent="0.25">
      <c r="F176" s="82"/>
      <c r="G176" s="82"/>
      <c r="H176" s="83"/>
      <c r="I176" s="83"/>
      <c r="L176" s="73"/>
      <c r="BG176" s="86"/>
      <c r="BH176" s="87">
        <f t="shared" si="16"/>
        <v>0</v>
      </c>
      <c r="BI176" s="88">
        <f t="shared" si="17"/>
        <v>0</v>
      </c>
      <c r="BJ176" s="88">
        <f t="shared" si="18"/>
        <v>0</v>
      </c>
      <c r="BQ176" s="69"/>
    </row>
    <row r="177" spans="6:69" x14ac:dyDescent="0.25">
      <c r="F177" s="82"/>
      <c r="G177" s="82"/>
      <c r="H177" s="83"/>
      <c r="I177" s="83"/>
      <c r="L177" s="73"/>
      <c r="BG177" s="86"/>
      <c r="BH177" s="87">
        <f t="shared" si="16"/>
        <v>0</v>
      </c>
      <c r="BI177" s="88">
        <f t="shared" si="17"/>
        <v>0</v>
      </c>
      <c r="BJ177" s="88">
        <f t="shared" si="18"/>
        <v>0</v>
      </c>
      <c r="BQ177" s="69"/>
    </row>
    <row r="178" spans="6:69" x14ac:dyDescent="0.25">
      <c r="F178" s="82"/>
      <c r="G178" s="82"/>
      <c r="H178" s="83"/>
      <c r="I178" s="83"/>
      <c r="L178" s="73"/>
      <c r="BG178" s="86"/>
      <c r="BH178" s="87">
        <f t="shared" si="16"/>
        <v>0</v>
      </c>
      <c r="BI178" s="88">
        <f t="shared" si="17"/>
        <v>0</v>
      </c>
      <c r="BJ178" s="88">
        <f t="shared" si="18"/>
        <v>0</v>
      </c>
      <c r="BQ178" s="69"/>
    </row>
    <row r="179" spans="6:69" x14ac:dyDescent="0.25">
      <c r="F179" s="82"/>
      <c r="G179" s="82"/>
      <c r="H179" s="83"/>
      <c r="I179" s="83"/>
      <c r="L179" s="73"/>
      <c r="BG179" s="86"/>
      <c r="BH179" s="87">
        <f t="shared" si="16"/>
        <v>0</v>
      </c>
      <c r="BI179" s="88">
        <f t="shared" si="17"/>
        <v>0</v>
      </c>
      <c r="BJ179" s="88">
        <f t="shared" si="18"/>
        <v>0</v>
      </c>
      <c r="BQ179" s="69"/>
    </row>
    <row r="180" spans="6:69" x14ac:dyDescent="0.25">
      <c r="F180" s="82"/>
      <c r="G180" s="82"/>
      <c r="H180" s="83"/>
      <c r="I180" s="83"/>
      <c r="L180" s="73"/>
      <c r="BG180" s="86"/>
      <c r="BH180" s="87">
        <f t="shared" si="16"/>
        <v>0</v>
      </c>
      <c r="BI180" s="88">
        <f t="shared" si="17"/>
        <v>0</v>
      </c>
      <c r="BJ180" s="88">
        <f t="shared" si="18"/>
        <v>0</v>
      </c>
      <c r="BQ180" s="69"/>
    </row>
    <row r="181" spans="6:69" x14ac:dyDescent="0.25">
      <c r="F181" s="82"/>
      <c r="G181" s="82"/>
      <c r="H181" s="83"/>
      <c r="I181" s="83"/>
      <c r="L181" s="73"/>
      <c r="BG181" s="86"/>
      <c r="BH181" s="87">
        <f t="shared" si="16"/>
        <v>0</v>
      </c>
      <c r="BI181" s="88">
        <f t="shared" si="17"/>
        <v>0</v>
      </c>
      <c r="BJ181" s="88">
        <f t="shared" si="18"/>
        <v>0</v>
      </c>
      <c r="BQ181" s="69"/>
    </row>
    <row r="182" spans="6:69" x14ac:dyDescent="0.25">
      <c r="F182" s="82"/>
      <c r="G182" s="82"/>
      <c r="H182" s="83"/>
      <c r="I182" s="83"/>
      <c r="L182" s="73"/>
      <c r="BG182" s="86"/>
      <c r="BH182" s="87">
        <f t="shared" si="16"/>
        <v>0</v>
      </c>
      <c r="BI182" s="88">
        <f t="shared" si="17"/>
        <v>0</v>
      </c>
      <c r="BJ182" s="88">
        <f t="shared" si="18"/>
        <v>0</v>
      </c>
      <c r="BQ182" s="69"/>
    </row>
    <row r="183" spans="6:69" x14ac:dyDescent="0.25">
      <c r="F183" s="82"/>
      <c r="G183" s="82"/>
      <c r="H183" s="83"/>
      <c r="I183" s="83"/>
      <c r="L183" s="73"/>
      <c r="BG183" s="86"/>
      <c r="BH183" s="87">
        <f t="shared" si="16"/>
        <v>0</v>
      </c>
      <c r="BI183" s="88">
        <f t="shared" si="17"/>
        <v>0</v>
      </c>
      <c r="BJ183" s="88">
        <f t="shared" si="18"/>
        <v>0</v>
      </c>
      <c r="BQ183" s="69"/>
    </row>
    <row r="184" spans="6:69" x14ac:dyDescent="0.25">
      <c r="F184" s="82"/>
      <c r="G184" s="82"/>
      <c r="H184" s="83"/>
      <c r="I184" s="83"/>
      <c r="L184" s="73"/>
      <c r="BG184" s="86"/>
      <c r="BH184" s="87">
        <f t="shared" si="16"/>
        <v>0</v>
      </c>
      <c r="BI184" s="88">
        <f t="shared" si="17"/>
        <v>0</v>
      </c>
      <c r="BJ184" s="88">
        <f t="shared" si="18"/>
        <v>0</v>
      </c>
      <c r="BQ184" s="69"/>
    </row>
    <row r="185" spans="6:69" x14ac:dyDescent="0.25">
      <c r="F185" s="82"/>
      <c r="G185" s="82"/>
      <c r="H185" s="83"/>
      <c r="I185" s="83"/>
      <c r="L185" s="73"/>
      <c r="BG185" s="86"/>
      <c r="BH185" s="87">
        <f t="shared" si="16"/>
        <v>0</v>
      </c>
      <c r="BI185" s="88">
        <f t="shared" si="17"/>
        <v>0</v>
      </c>
      <c r="BJ185" s="88">
        <f t="shared" si="18"/>
        <v>0</v>
      </c>
      <c r="BQ185" s="69"/>
    </row>
    <row r="186" spans="6:69" x14ac:dyDescent="0.25">
      <c r="F186" s="82"/>
      <c r="G186" s="82"/>
      <c r="H186" s="83"/>
      <c r="I186" s="83"/>
      <c r="L186" s="73"/>
      <c r="BG186" s="86"/>
      <c r="BH186" s="87">
        <f t="shared" si="16"/>
        <v>0</v>
      </c>
      <c r="BI186" s="88">
        <f t="shared" si="17"/>
        <v>0</v>
      </c>
      <c r="BJ186" s="88">
        <f t="shared" si="18"/>
        <v>0</v>
      </c>
      <c r="BQ186" s="69"/>
    </row>
    <row r="187" spans="6:69" x14ac:dyDescent="0.25">
      <c r="F187" s="82"/>
      <c r="G187" s="82"/>
      <c r="H187" s="83"/>
      <c r="I187" s="83"/>
      <c r="L187" s="73"/>
      <c r="BG187" s="86"/>
      <c r="BH187" s="87">
        <f t="shared" si="16"/>
        <v>0</v>
      </c>
      <c r="BI187" s="88">
        <f t="shared" si="17"/>
        <v>0</v>
      </c>
      <c r="BJ187" s="88">
        <f t="shared" si="18"/>
        <v>0</v>
      </c>
      <c r="BQ187" s="69"/>
    </row>
    <row r="188" spans="6:69" x14ac:dyDescent="0.25">
      <c r="F188" s="82"/>
      <c r="G188" s="82"/>
      <c r="H188" s="83"/>
      <c r="I188" s="83"/>
      <c r="L188" s="73"/>
      <c r="BG188" s="86"/>
      <c r="BH188" s="87">
        <f t="shared" si="16"/>
        <v>0</v>
      </c>
      <c r="BI188" s="88">
        <f t="shared" si="17"/>
        <v>0</v>
      </c>
      <c r="BJ188" s="88">
        <f t="shared" si="18"/>
        <v>0</v>
      </c>
      <c r="BQ188" s="69"/>
    </row>
    <row r="189" spans="6:69" x14ac:dyDescent="0.25">
      <c r="F189" s="82"/>
      <c r="G189" s="82"/>
      <c r="H189" s="83"/>
      <c r="I189" s="83"/>
      <c r="L189" s="73"/>
      <c r="BG189" s="86"/>
      <c r="BH189" s="87">
        <f t="shared" si="16"/>
        <v>0</v>
      </c>
      <c r="BI189" s="88">
        <f t="shared" si="17"/>
        <v>0</v>
      </c>
      <c r="BJ189" s="88">
        <f t="shared" si="18"/>
        <v>0</v>
      </c>
      <c r="BQ189" s="69"/>
    </row>
    <row r="190" spans="6:69" x14ac:dyDescent="0.25">
      <c r="F190" s="82"/>
      <c r="G190" s="82"/>
      <c r="H190" s="83"/>
      <c r="I190" s="83"/>
      <c r="L190" s="73"/>
      <c r="BG190" s="86"/>
      <c r="BH190" s="87">
        <f t="shared" si="16"/>
        <v>0</v>
      </c>
      <c r="BI190" s="88">
        <f t="shared" si="17"/>
        <v>0</v>
      </c>
      <c r="BJ190" s="88">
        <f t="shared" si="18"/>
        <v>0</v>
      </c>
      <c r="BQ190" s="69"/>
    </row>
    <row r="191" spans="6:69" x14ac:dyDescent="0.25">
      <c r="F191" s="82"/>
      <c r="G191" s="82"/>
      <c r="H191" s="83"/>
      <c r="I191" s="83"/>
      <c r="L191" s="73"/>
      <c r="BG191" s="86"/>
      <c r="BH191" s="87">
        <f t="shared" si="16"/>
        <v>0</v>
      </c>
      <c r="BI191" s="88">
        <f t="shared" si="17"/>
        <v>0</v>
      </c>
      <c r="BJ191" s="88">
        <f t="shared" si="18"/>
        <v>0</v>
      </c>
      <c r="BQ191" s="69"/>
    </row>
    <row r="192" spans="6:69" x14ac:dyDescent="0.25">
      <c r="F192" s="82"/>
      <c r="G192" s="82"/>
      <c r="H192" s="83"/>
      <c r="I192" s="83"/>
      <c r="L192" s="73"/>
      <c r="BG192" s="86"/>
      <c r="BH192" s="87">
        <f t="shared" si="16"/>
        <v>0</v>
      </c>
      <c r="BI192" s="88">
        <f t="shared" si="17"/>
        <v>0</v>
      </c>
      <c r="BJ192" s="88">
        <f t="shared" si="18"/>
        <v>0</v>
      </c>
      <c r="BQ192" s="69"/>
    </row>
    <row r="193" spans="6:69" x14ac:dyDescent="0.25">
      <c r="F193" s="82"/>
      <c r="G193" s="82"/>
      <c r="H193" s="83"/>
      <c r="I193" s="83"/>
      <c r="L193" s="73"/>
      <c r="BG193" s="86"/>
      <c r="BH193" s="87">
        <f t="shared" si="16"/>
        <v>0</v>
      </c>
      <c r="BI193" s="88">
        <f t="shared" si="17"/>
        <v>0</v>
      </c>
      <c r="BJ193" s="88">
        <f t="shared" si="18"/>
        <v>0</v>
      </c>
      <c r="BQ193" s="69"/>
    </row>
    <row r="194" spans="6:69" x14ac:dyDescent="0.25">
      <c r="F194" s="82"/>
      <c r="G194" s="82"/>
      <c r="H194" s="83"/>
      <c r="I194" s="83"/>
      <c r="L194" s="73"/>
      <c r="BG194" s="86"/>
      <c r="BH194" s="87">
        <f t="shared" si="16"/>
        <v>0</v>
      </c>
      <c r="BI194" s="88">
        <f t="shared" si="17"/>
        <v>0</v>
      </c>
      <c r="BJ194" s="88">
        <f t="shared" si="18"/>
        <v>0</v>
      </c>
      <c r="BQ194" s="69"/>
    </row>
    <row r="195" spans="6:69" x14ac:dyDescent="0.25">
      <c r="F195" s="82"/>
      <c r="G195" s="82"/>
      <c r="H195" s="83"/>
      <c r="I195" s="83"/>
      <c r="L195" s="73"/>
      <c r="BG195" s="86"/>
      <c r="BH195" s="87">
        <f t="shared" si="16"/>
        <v>0</v>
      </c>
      <c r="BI195" s="88">
        <f t="shared" si="17"/>
        <v>0</v>
      </c>
      <c r="BJ195" s="88">
        <f t="shared" si="18"/>
        <v>0</v>
      </c>
      <c r="BQ195" s="69"/>
    </row>
    <row r="196" spans="6:69" x14ac:dyDescent="0.25">
      <c r="F196" s="82"/>
      <c r="G196" s="82"/>
      <c r="H196" s="83"/>
      <c r="I196" s="83"/>
      <c r="L196" s="73"/>
      <c r="BG196" s="86"/>
      <c r="BH196" s="87">
        <f t="shared" si="16"/>
        <v>0</v>
      </c>
      <c r="BI196" s="88">
        <f t="shared" si="17"/>
        <v>0</v>
      </c>
      <c r="BJ196" s="88">
        <f t="shared" si="18"/>
        <v>0</v>
      </c>
      <c r="BQ196" s="69"/>
    </row>
    <row r="197" spans="6:69" x14ac:dyDescent="0.25">
      <c r="F197" s="82"/>
      <c r="G197" s="82"/>
      <c r="H197" s="83"/>
      <c r="I197" s="83"/>
      <c r="L197" s="73"/>
      <c r="BG197" s="86"/>
      <c r="BH197" s="87">
        <f t="shared" si="16"/>
        <v>0</v>
      </c>
      <c r="BI197" s="88">
        <f t="shared" si="17"/>
        <v>0</v>
      </c>
      <c r="BJ197" s="88">
        <f t="shared" si="18"/>
        <v>0</v>
      </c>
      <c r="BQ197" s="69"/>
    </row>
    <row r="198" spans="6:69" x14ac:dyDescent="0.25">
      <c r="F198" s="82"/>
      <c r="G198" s="82"/>
      <c r="H198" s="83"/>
      <c r="I198" s="83"/>
      <c r="L198" s="73"/>
      <c r="BG198" s="86"/>
      <c r="BH198" s="87">
        <f t="shared" si="16"/>
        <v>0</v>
      </c>
      <c r="BI198" s="88">
        <f t="shared" si="17"/>
        <v>0</v>
      </c>
      <c r="BJ198" s="88">
        <f t="shared" si="18"/>
        <v>0</v>
      </c>
      <c r="BQ198" s="69"/>
    </row>
    <row r="199" spans="6:69" x14ac:dyDescent="0.25">
      <c r="F199" s="82"/>
      <c r="G199" s="82"/>
      <c r="H199" s="83"/>
      <c r="I199" s="83"/>
      <c r="L199" s="73"/>
      <c r="BG199" s="86"/>
      <c r="BH199" s="87">
        <f t="shared" si="16"/>
        <v>0</v>
      </c>
      <c r="BI199" s="88">
        <f t="shared" si="17"/>
        <v>0</v>
      </c>
      <c r="BJ199" s="88">
        <f t="shared" si="18"/>
        <v>0</v>
      </c>
      <c r="BQ199" s="69"/>
    </row>
    <row r="200" spans="6:69" x14ac:dyDescent="0.25">
      <c r="F200" s="82"/>
      <c r="G200" s="82"/>
      <c r="H200" s="83"/>
      <c r="I200" s="83"/>
      <c r="L200" s="73"/>
      <c r="BG200" s="86"/>
      <c r="BH200" s="87">
        <f t="shared" si="16"/>
        <v>0</v>
      </c>
      <c r="BI200" s="88">
        <f t="shared" si="17"/>
        <v>0</v>
      </c>
      <c r="BJ200" s="88">
        <f t="shared" si="18"/>
        <v>0</v>
      </c>
      <c r="BQ200" s="69"/>
    </row>
    <row r="201" spans="6:69" x14ac:dyDescent="0.25">
      <c r="F201" s="82"/>
      <c r="G201" s="82"/>
      <c r="H201" s="83"/>
      <c r="I201" s="83"/>
      <c r="L201" s="73"/>
      <c r="BG201" s="86"/>
      <c r="BH201" s="87">
        <f t="shared" si="16"/>
        <v>0</v>
      </c>
      <c r="BI201" s="88">
        <f t="shared" si="17"/>
        <v>0</v>
      </c>
      <c r="BJ201" s="88">
        <f t="shared" si="18"/>
        <v>0</v>
      </c>
      <c r="BQ201" s="69"/>
    </row>
    <row r="202" spans="6:69" x14ac:dyDescent="0.25">
      <c r="F202" s="82"/>
      <c r="G202" s="82"/>
      <c r="H202" s="83"/>
      <c r="I202" s="83"/>
      <c r="L202" s="73"/>
      <c r="BG202" s="86"/>
      <c r="BH202" s="87">
        <f t="shared" si="16"/>
        <v>0</v>
      </c>
      <c r="BI202" s="88">
        <f t="shared" si="17"/>
        <v>0</v>
      </c>
      <c r="BJ202" s="88">
        <f t="shared" si="18"/>
        <v>0</v>
      </c>
      <c r="BQ202" s="69"/>
    </row>
    <row r="203" spans="6:69" x14ac:dyDescent="0.25">
      <c r="F203" s="82"/>
      <c r="G203" s="82"/>
      <c r="H203" s="83"/>
      <c r="I203" s="83"/>
      <c r="L203" s="73"/>
      <c r="BG203" s="86"/>
      <c r="BH203" s="87">
        <f t="shared" si="16"/>
        <v>0</v>
      </c>
      <c r="BI203" s="88">
        <f t="shared" si="17"/>
        <v>0</v>
      </c>
      <c r="BJ203" s="88">
        <f t="shared" si="18"/>
        <v>0</v>
      </c>
      <c r="BQ203" s="69"/>
    </row>
    <row r="204" spans="6:69" x14ac:dyDescent="0.25">
      <c r="F204" s="82"/>
      <c r="G204" s="82"/>
      <c r="H204" s="83"/>
      <c r="I204" s="83"/>
      <c r="L204" s="73"/>
      <c r="BG204" s="86"/>
      <c r="BH204" s="87">
        <f t="shared" si="16"/>
        <v>0</v>
      </c>
      <c r="BI204" s="88">
        <f t="shared" si="17"/>
        <v>0</v>
      </c>
      <c r="BJ204" s="88">
        <f t="shared" si="18"/>
        <v>0</v>
      </c>
      <c r="BQ204" s="69"/>
    </row>
    <row r="205" spans="6:69" x14ac:dyDescent="0.25">
      <c r="F205" s="82"/>
      <c r="G205" s="82"/>
      <c r="H205" s="83"/>
      <c r="I205" s="83"/>
      <c r="L205" s="73"/>
      <c r="BG205" s="86"/>
      <c r="BH205" s="87">
        <f t="shared" si="16"/>
        <v>0</v>
      </c>
      <c r="BI205" s="88">
        <f t="shared" si="17"/>
        <v>0</v>
      </c>
      <c r="BJ205" s="88">
        <f t="shared" si="18"/>
        <v>0</v>
      </c>
      <c r="BQ205" s="69"/>
    </row>
    <row r="206" spans="6:69" x14ac:dyDescent="0.25">
      <c r="F206" s="82"/>
      <c r="G206" s="82"/>
      <c r="H206" s="83"/>
      <c r="I206" s="83"/>
      <c r="L206" s="73"/>
      <c r="BG206" s="86"/>
      <c r="BH206" s="87">
        <f t="shared" ref="BH206:BH269" si="19">$I206-$H206</f>
        <v>0</v>
      </c>
      <c r="BI206" s="88">
        <f t="shared" ref="BI206:BI269" si="20">IF($N206="W", IF(ROW()=1, 1, BI205+1), 0)</f>
        <v>0</v>
      </c>
      <c r="BJ206" s="88">
        <f t="shared" ref="BJ206:BJ269" si="21">IF($N206="l", IF(ROW()=1, 1, BJ205+1), 0)</f>
        <v>0</v>
      </c>
      <c r="BQ206" s="69"/>
    </row>
    <row r="207" spans="6:69" x14ac:dyDescent="0.25">
      <c r="F207" s="82"/>
      <c r="G207" s="82"/>
      <c r="H207" s="83"/>
      <c r="I207" s="83"/>
      <c r="L207" s="73"/>
      <c r="BG207" s="86"/>
      <c r="BH207" s="87">
        <f t="shared" si="19"/>
        <v>0</v>
      </c>
      <c r="BI207" s="88">
        <f t="shared" si="20"/>
        <v>0</v>
      </c>
      <c r="BJ207" s="88">
        <f t="shared" si="21"/>
        <v>0</v>
      </c>
      <c r="BQ207" s="69"/>
    </row>
    <row r="208" spans="6:69" x14ac:dyDescent="0.25">
      <c r="F208" s="82"/>
      <c r="G208" s="82"/>
      <c r="H208" s="83"/>
      <c r="I208" s="83"/>
      <c r="L208" s="73"/>
      <c r="BG208" s="86"/>
      <c r="BH208" s="87">
        <f t="shared" si="19"/>
        <v>0</v>
      </c>
      <c r="BI208" s="88">
        <f t="shared" si="20"/>
        <v>0</v>
      </c>
      <c r="BJ208" s="88">
        <f t="shared" si="21"/>
        <v>0</v>
      </c>
      <c r="BQ208" s="69"/>
    </row>
    <row r="209" spans="6:69" x14ac:dyDescent="0.25">
      <c r="F209" s="82"/>
      <c r="G209" s="82"/>
      <c r="H209" s="83"/>
      <c r="I209" s="83"/>
      <c r="L209" s="73"/>
      <c r="BG209" s="86"/>
      <c r="BH209" s="87">
        <f t="shared" si="19"/>
        <v>0</v>
      </c>
      <c r="BI209" s="88">
        <f t="shared" si="20"/>
        <v>0</v>
      </c>
      <c r="BJ209" s="88">
        <f t="shared" si="21"/>
        <v>0</v>
      </c>
      <c r="BQ209" s="69"/>
    </row>
    <row r="210" spans="6:69" x14ac:dyDescent="0.25">
      <c r="F210" s="82"/>
      <c r="G210" s="82"/>
      <c r="H210" s="83"/>
      <c r="I210" s="83"/>
      <c r="L210" s="73"/>
      <c r="BG210" s="86"/>
      <c r="BH210" s="87">
        <f t="shared" si="19"/>
        <v>0</v>
      </c>
      <c r="BI210" s="88">
        <f t="shared" si="20"/>
        <v>0</v>
      </c>
      <c r="BJ210" s="88">
        <f t="shared" si="21"/>
        <v>0</v>
      </c>
      <c r="BQ210" s="69"/>
    </row>
    <row r="211" spans="6:69" x14ac:dyDescent="0.25">
      <c r="F211" s="82"/>
      <c r="G211" s="82"/>
      <c r="H211" s="83"/>
      <c r="I211" s="83"/>
      <c r="L211" s="73"/>
      <c r="BG211" s="86"/>
      <c r="BH211" s="87">
        <f t="shared" si="19"/>
        <v>0</v>
      </c>
      <c r="BI211" s="88">
        <f t="shared" si="20"/>
        <v>0</v>
      </c>
      <c r="BJ211" s="88">
        <f t="shared" si="21"/>
        <v>0</v>
      </c>
      <c r="BQ211" s="69"/>
    </row>
    <row r="212" spans="6:69" x14ac:dyDescent="0.25">
      <c r="F212" s="82"/>
      <c r="G212" s="82"/>
      <c r="H212" s="83"/>
      <c r="I212" s="83"/>
      <c r="L212" s="73"/>
      <c r="BG212" s="86"/>
      <c r="BH212" s="87">
        <f t="shared" si="19"/>
        <v>0</v>
      </c>
      <c r="BI212" s="88">
        <f t="shared" si="20"/>
        <v>0</v>
      </c>
      <c r="BJ212" s="88">
        <f t="shared" si="21"/>
        <v>0</v>
      </c>
      <c r="BQ212" s="69"/>
    </row>
    <row r="213" spans="6:69" x14ac:dyDescent="0.25">
      <c r="F213" s="82"/>
      <c r="G213" s="82"/>
      <c r="H213" s="83"/>
      <c r="I213" s="83"/>
      <c r="L213" s="73"/>
      <c r="BG213" s="86"/>
      <c r="BH213" s="87">
        <f t="shared" si="19"/>
        <v>0</v>
      </c>
      <c r="BI213" s="88">
        <f t="shared" si="20"/>
        <v>0</v>
      </c>
      <c r="BJ213" s="88">
        <f t="shared" si="21"/>
        <v>0</v>
      </c>
      <c r="BQ213" s="69"/>
    </row>
    <row r="214" spans="6:69" x14ac:dyDescent="0.25">
      <c r="F214" s="82"/>
      <c r="G214" s="82"/>
      <c r="H214" s="83"/>
      <c r="I214" s="83"/>
      <c r="L214" s="73"/>
      <c r="BG214" s="86"/>
      <c r="BH214" s="87">
        <f t="shared" si="19"/>
        <v>0</v>
      </c>
      <c r="BI214" s="88">
        <f t="shared" si="20"/>
        <v>0</v>
      </c>
      <c r="BJ214" s="88">
        <f t="shared" si="21"/>
        <v>0</v>
      </c>
      <c r="BQ214" s="69"/>
    </row>
    <row r="215" spans="6:69" x14ac:dyDescent="0.25">
      <c r="F215" s="82"/>
      <c r="G215" s="82"/>
      <c r="H215" s="83"/>
      <c r="I215" s="83"/>
      <c r="L215" s="73"/>
      <c r="BG215" s="86"/>
      <c r="BH215" s="87">
        <f t="shared" si="19"/>
        <v>0</v>
      </c>
      <c r="BI215" s="88">
        <f t="shared" si="20"/>
        <v>0</v>
      </c>
      <c r="BJ215" s="88">
        <f t="shared" si="21"/>
        <v>0</v>
      </c>
      <c r="BQ215" s="69"/>
    </row>
    <row r="216" spans="6:69" x14ac:dyDescent="0.25">
      <c r="F216" s="82"/>
      <c r="G216" s="82"/>
      <c r="H216" s="83"/>
      <c r="I216" s="83"/>
      <c r="L216" s="73"/>
      <c r="BG216" s="86"/>
      <c r="BH216" s="87">
        <f t="shared" si="19"/>
        <v>0</v>
      </c>
      <c r="BI216" s="88">
        <f t="shared" si="20"/>
        <v>0</v>
      </c>
      <c r="BJ216" s="88">
        <f t="shared" si="21"/>
        <v>0</v>
      </c>
      <c r="BQ216" s="69"/>
    </row>
    <row r="217" spans="6:69" x14ac:dyDescent="0.25">
      <c r="F217" s="82"/>
      <c r="G217" s="82"/>
      <c r="H217" s="83"/>
      <c r="I217" s="83"/>
      <c r="L217" s="73"/>
      <c r="BG217" s="86"/>
      <c r="BH217" s="87">
        <f t="shared" si="19"/>
        <v>0</v>
      </c>
      <c r="BI217" s="88">
        <f t="shared" si="20"/>
        <v>0</v>
      </c>
      <c r="BJ217" s="88">
        <f t="shared" si="21"/>
        <v>0</v>
      </c>
      <c r="BQ217" s="69"/>
    </row>
    <row r="218" spans="6:69" x14ac:dyDescent="0.25">
      <c r="F218" s="82"/>
      <c r="G218" s="82"/>
      <c r="H218" s="83"/>
      <c r="I218" s="83"/>
      <c r="L218" s="73"/>
      <c r="BG218" s="86"/>
      <c r="BH218" s="87">
        <f t="shared" si="19"/>
        <v>0</v>
      </c>
      <c r="BI218" s="88">
        <f t="shared" si="20"/>
        <v>0</v>
      </c>
      <c r="BJ218" s="88">
        <f t="shared" si="21"/>
        <v>0</v>
      </c>
      <c r="BQ218" s="69"/>
    </row>
    <row r="219" spans="6:69" x14ac:dyDescent="0.25">
      <c r="F219" s="82"/>
      <c r="G219" s="82"/>
      <c r="H219" s="83"/>
      <c r="I219" s="83"/>
      <c r="L219" s="73"/>
      <c r="BG219" s="86"/>
      <c r="BH219" s="87">
        <f t="shared" si="19"/>
        <v>0</v>
      </c>
      <c r="BI219" s="88">
        <f t="shared" si="20"/>
        <v>0</v>
      </c>
      <c r="BJ219" s="88">
        <f t="shared" si="21"/>
        <v>0</v>
      </c>
      <c r="BQ219" s="69"/>
    </row>
    <row r="220" spans="6:69" x14ac:dyDescent="0.25">
      <c r="F220" s="82"/>
      <c r="G220" s="82"/>
      <c r="H220" s="83"/>
      <c r="I220" s="83"/>
      <c r="L220" s="73"/>
      <c r="BG220" s="86"/>
      <c r="BH220" s="87">
        <f t="shared" si="19"/>
        <v>0</v>
      </c>
      <c r="BI220" s="88">
        <f t="shared" si="20"/>
        <v>0</v>
      </c>
      <c r="BJ220" s="88">
        <f t="shared" si="21"/>
        <v>0</v>
      </c>
      <c r="BQ220" s="69"/>
    </row>
    <row r="221" spans="6:69" x14ac:dyDescent="0.25">
      <c r="F221" s="82"/>
      <c r="G221" s="82"/>
      <c r="H221" s="83"/>
      <c r="I221" s="83"/>
      <c r="L221" s="73"/>
      <c r="BG221" s="86"/>
      <c r="BH221" s="87">
        <f t="shared" si="19"/>
        <v>0</v>
      </c>
      <c r="BI221" s="88">
        <f t="shared" si="20"/>
        <v>0</v>
      </c>
      <c r="BJ221" s="88">
        <f t="shared" si="21"/>
        <v>0</v>
      </c>
      <c r="BQ221" s="69"/>
    </row>
    <row r="222" spans="6:69" x14ac:dyDescent="0.25">
      <c r="F222" s="82"/>
      <c r="G222" s="82"/>
      <c r="H222" s="83"/>
      <c r="I222" s="83"/>
      <c r="L222" s="73"/>
      <c r="BG222" s="86"/>
      <c r="BH222" s="87">
        <f t="shared" si="19"/>
        <v>0</v>
      </c>
      <c r="BI222" s="88">
        <f t="shared" si="20"/>
        <v>0</v>
      </c>
      <c r="BJ222" s="88">
        <f t="shared" si="21"/>
        <v>0</v>
      </c>
      <c r="BQ222" s="69"/>
    </row>
    <row r="223" spans="6:69" x14ac:dyDescent="0.25">
      <c r="F223" s="82"/>
      <c r="G223" s="82"/>
      <c r="H223" s="83"/>
      <c r="I223" s="83"/>
      <c r="L223" s="73"/>
      <c r="BG223" s="86"/>
      <c r="BH223" s="87">
        <f t="shared" si="19"/>
        <v>0</v>
      </c>
      <c r="BI223" s="88">
        <f t="shared" si="20"/>
        <v>0</v>
      </c>
      <c r="BJ223" s="88">
        <f t="shared" si="21"/>
        <v>0</v>
      </c>
      <c r="BQ223" s="69"/>
    </row>
    <row r="224" spans="6:69" x14ac:dyDescent="0.25">
      <c r="F224" s="82"/>
      <c r="G224" s="82"/>
      <c r="H224" s="83"/>
      <c r="I224" s="83"/>
      <c r="L224" s="73"/>
      <c r="BG224" s="86"/>
      <c r="BH224" s="87">
        <f t="shared" si="19"/>
        <v>0</v>
      </c>
      <c r="BI224" s="88">
        <f t="shared" si="20"/>
        <v>0</v>
      </c>
      <c r="BJ224" s="88">
        <f t="shared" si="21"/>
        <v>0</v>
      </c>
      <c r="BQ224" s="69"/>
    </row>
    <row r="225" spans="6:69" x14ac:dyDescent="0.25">
      <c r="F225" s="82"/>
      <c r="G225" s="82"/>
      <c r="H225" s="83"/>
      <c r="I225" s="83"/>
      <c r="L225" s="73"/>
      <c r="BG225" s="86"/>
      <c r="BH225" s="87">
        <f t="shared" si="19"/>
        <v>0</v>
      </c>
      <c r="BI225" s="88">
        <f t="shared" si="20"/>
        <v>0</v>
      </c>
      <c r="BJ225" s="88">
        <f t="shared" si="21"/>
        <v>0</v>
      </c>
      <c r="BQ225" s="69"/>
    </row>
    <row r="226" spans="6:69" x14ac:dyDescent="0.25">
      <c r="F226" s="82"/>
      <c r="G226" s="82"/>
      <c r="H226" s="83"/>
      <c r="I226" s="83"/>
      <c r="L226" s="73"/>
      <c r="BG226" s="86"/>
      <c r="BH226" s="87">
        <f t="shared" si="19"/>
        <v>0</v>
      </c>
      <c r="BI226" s="88">
        <f t="shared" si="20"/>
        <v>0</v>
      </c>
      <c r="BJ226" s="88">
        <f t="shared" si="21"/>
        <v>0</v>
      </c>
      <c r="BQ226" s="69"/>
    </row>
    <row r="227" spans="6:69" x14ac:dyDescent="0.25">
      <c r="F227" s="82"/>
      <c r="G227" s="82"/>
      <c r="H227" s="83"/>
      <c r="I227" s="83"/>
      <c r="L227" s="73"/>
      <c r="BG227" s="86"/>
      <c r="BH227" s="87">
        <f t="shared" si="19"/>
        <v>0</v>
      </c>
      <c r="BI227" s="88">
        <f t="shared" si="20"/>
        <v>0</v>
      </c>
      <c r="BJ227" s="88">
        <f t="shared" si="21"/>
        <v>0</v>
      </c>
      <c r="BQ227" s="69"/>
    </row>
    <row r="228" spans="6:69" x14ac:dyDescent="0.25">
      <c r="F228" s="82"/>
      <c r="G228" s="82"/>
      <c r="H228" s="83"/>
      <c r="I228" s="83"/>
      <c r="L228" s="73"/>
      <c r="BG228" s="86"/>
      <c r="BH228" s="87">
        <f t="shared" si="19"/>
        <v>0</v>
      </c>
      <c r="BI228" s="88">
        <f t="shared" si="20"/>
        <v>0</v>
      </c>
      <c r="BJ228" s="88">
        <f t="shared" si="21"/>
        <v>0</v>
      </c>
      <c r="BQ228" s="69"/>
    </row>
    <row r="229" spans="6:69" x14ac:dyDescent="0.25">
      <c r="F229" s="82"/>
      <c r="G229" s="82"/>
      <c r="H229" s="83"/>
      <c r="I229" s="83"/>
      <c r="L229" s="73"/>
      <c r="BG229" s="86"/>
      <c r="BH229" s="87">
        <f t="shared" si="19"/>
        <v>0</v>
      </c>
      <c r="BI229" s="88">
        <f t="shared" si="20"/>
        <v>0</v>
      </c>
      <c r="BJ229" s="88">
        <f t="shared" si="21"/>
        <v>0</v>
      </c>
      <c r="BQ229" s="69"/>
    </row>
    <row r="230" spans="6:69" x14ac:dyDescent="0.25">
      <c r="F230" s="82"/>
      <c r="G230" s="82"/>
      <c r="H230" s="83"/>
      <c r="I230" s="83"/>
      <c r="L230" s="73"/>
      <c r="BG230" s="86"/>
      <c r="BH230" s="87">
        <f t="shared" si="19"/>
        <v>0</v>
      </c>
      <c r="BI230" s="88">
        <f t="shared" si="20"/>
        <v>0</v>
      </c>
      <c r="BJ230" s="88">
        <f t="shared" si="21"/>
        <v>0</v>
      </c>
      <c r="BQ230" s="69"/>
    </row>
    <row r="231" spans="6:69" x14ac:dyDescent="0.25">
      <c r="F231" s="82"/>
      <c r="G231" s="82"/>
      <c r="H231" s="83"/>
      <c r="I231" s="83"/>
      <c r="L231" s="73"/>
      <c r="BG231" s="86"/>
      <c r="BH231" s="87">
        <f t="shared" si="19"/>
        <v>0</v>
      </c>
      <c r="BI231" s="88">
        <f t="shared" si="20"/>
        <v>0</v>
      </c>
      <c r="BJ231" s="88">
        <f t="shared" si="21"/>
        <v>0</v>
      </c>
      <c r="BQ231" s="69"/>
    </row>
    <row r="232" spans="6:69" x14ac:dyDescent="0.25">
      <c r="F232" s="82"/>
      <c r="G232" s="82"/>
      <c r="H232" s="83"/>
      <c r="I232" s="83"/>
      <c r="L232" s="73"/>
      <c r="BG232" s="86"/>
      <c r="BH232" s="87">
        <f t="shared" si="19"/>
        <v>0</v>
      </c>
      <c r="BI232" s="88">
        <f t="shared" si="20"/>
        <v>0</v>
      </c>
      <c r="BJ232" s="88">
        <f t="shared" si="21"/>
        <v>0</v>
      </c>
      <c r="BQ232" s="69"/>
    </row>
    <row r="233" spans="6:69" x14ac:dyDescent="0.25">
      <c r="F233" s="82"/>
      <c r="G233" s="82"/>
      <c r="H233" s="83"/>
      <c r="I233" s="83"/>
      <c r="L233" s="73"/>
      <c r="BG233" s="86"/>
      <c r="BH233" s="87">
        <f t="shared" si="19"/>
        <v>0</v>
      </c>
      <c r="BI233" s="88">
        <f t="shared" si="20"/>
        <v>0</v>
      </c>
      <c r="BJ233" s="88">
        <f t="shared" si="21"/>
        <v>0</v>
      </c>
      <c r="BQ233" s="69"/>
    </row>
    <row r="234" spans="6:69" x14ac:dyDescent="0.25">
      <c r="F234" s="82"/>
      <c r="G234" s="82"/>
      <c r="H234" s="83"/>
      <c r="I234" s="83"/>
      <c r="L234" s="73"/>
      <c r="BG234" s="86"/>
      <c r="BH234" s="87">
        <f t="shared" si="19"/>
        <v>0</v>
      </c>
      <c r="BI234" s="88">
        <f t="shared" si="20"/>
        <v>0</v>
      </c>
      <c r="BJ234" s="88">
        <f t="shared" si="21"/>
        <v>0</v>
      </c>
      <c r="BQ234" s="69"/>
    </row>
    <row r="235" spans="6:69" x14ac:dyDescent="0.25">
      <c r="F235" s="82"/>
      <c r="G235" s="82"/>
      <c r="H235" s="83"/>
      <c r="I235" s="83"/>
      <c r="L235" s="73"/>
      <c r="BG235" s="86"/>
      <c r="BH235" s="87">
        <f t="shared" si="19"/>
        <v>0</v>
      </c>
      <c r="BI235" s="88">
        <f t="shared" si="20"/>
        <v>0</v>
      </c>
      <c r="BJ235" s="88">
        <f t="shared" si="21"/>
        <v>0</v>
      </c>
      <c r="BQ235" s="69"/>
    </row>
    <row r="236" spans="6:69" x14ac:dyDescent="0.25">
      <c r="F236" s="82"/>
      <c r="G236" s="82"/>
      <c r="H236" s="83"/>
      <c r="I236" s="83"/>
      <c r="L236" s="73"/>
      <c r="BG236" s="86"/>
      <c r="BH236" s="87">
        <f t="shared" si="19"/>
        <v>0</v>
      </c>
      <c r="BI236" s="88">
        <f t="shared" si="20"/>
        <v>0</v>
      </c>
      <c r="BJ236" s="88">
        <f t="shared" si="21"/>
        <v>0</v>
      </c>
      <c r="BQ236" s="69"/>
    </row>
    <row r="237" spans="6:69" x14ac:dyDescent="0.25">
      <c r="F237" s="82"/>
      <c r="G237" s="82"/>
      <c r="H237" s="83"/>
      <c r="I237" s="83"/>
      <c r="L237" s="73"/>
      <c r="BG237" s="86"/>
      <c r="BH237" s="87">
        <f t="shared" si="19"/>
        <v>0</v>
      </c>
      <c r="BI237" s="88">
        <f t="shared" si="20"/>
        <v>0</v>
      </c>
      <c r="BJ237" s="88">
        <f t="shared" si="21"/>
        <v>0</v>
      </c>
      <c r="BQ237" s="69"/>
    </row>
    <row r="238" spans="6:69" x14ac:dyDescent="0.25">
      <c r="F238" s="82"/>
      <c r="G238" s="82"/>
      <c r="H238" s="83"/>
      <c r="I238" s="83"/>
      <c r="L238" s="73"/>
      <c r="BG238" s="86"/>
      <c r="BH238" s="87">
        <f t="shared" si="19"/>
        <v>0</v>
      </c>
      <c r="BI238" s="88">
        <f t="shared" si="20"/>
        <v>0</v>
      </c>
      <c r="BJ238" s="88">
        <f t="shared" si="21"/>
        <v>0</v>
      </c>
      <c r="BQ238" s="69"/>
    </row>
    <row r="239" spans="6:69" x14ac:dyDescent="0.25">
      <c r="F239" s="82"/>
      <c r="G239" s="82"/>
      <c r="H239" s="83"/>
      <c r="I239" s="83"/>
      <c r="L239" s="73"/>
      <c r="BG239" s="86"/>
      <c r="BH239" s="87">
        <f t="shared" si="19"/>
        <v>0</v>
      </c>
      <c r="BI239" s="88">
        <f t="shared" si="20"/>
        <v>0</v>
      </c>
      <c r="BJ239" s="88">
        <f t="shared" si="21"/>
        <v>0</v>
      </c>
      <c r="BQ239" s="69"/>
    </row>
    <row r="240" spans="6:69" x14ac:dyDescent="0.25">
      <c r="F240" s="82"/>
      <c r="G240" s="82"/>
      <c r="H240" s="83"/>
      <c r="I240" s="83"/>
      <c r="L240" s="73"/>
      <c r="BG240" s="86"/>
      <c r="BH240" s="87">
        <f t="shared" si="19"/>
        <v>0</v>
      </c>
      <c r="BI240" s="88">
        <f t="shared" si="20"/>
        <v>0</v>
      </c>
      <c r="BJ240" s="88">
        <f t="shared" si="21"/>
        <v>0</v>
      </c>
      <c r="BQ240" s="69"/>
    </row>
    <row r="241" spans="6:69" x14ac:dyDescent="0.25">
      <c r="F241" s="82"/>
      <c r="G241" s="82"/>
      <c r="H241" s="83"/>
      <c r="I241" s="83"/>
      <c r="L241" s="73"/>
      <c r="BG241" s="86"/>
      <c r="BH241" s="87">
        <f t="shared" si="19"/>
        <v>0</v>
      </c>
      <c r="BI241" s="88">
        <f t="shared" si="20"/>
        <v>0</v>
      </c>
      <c r="BJ241" s="88">
        <f t="shared" si="21"/>
        <v>0</v>
      </c>
      <c r="BQ241" s="69"/>
    </row>
    <row r="242" spans="6:69" x14ac:dyDescent="0.25">
      <c r="F242" s="82"/>
      <c r="G242" s="82"/>
      <c r="H242" s="83"/>
      <c r="I242" s="83"/>
      <c r="L242" s="73"/>
      <c r="BG242" s="86"/>
      <c r="BH242" s="87">
        <f t="shared" si="19"/>
        <v>0</v>
      </c>
      <c r="BI242" s="88">
        <f t="shared" si="20"/>
        <v>0</v>
      </c>
      <c r="BJ242" s="88">
        <f t="shared" si="21"/>
        <v>0</v>
      </c>
      <c r="BQ242" s="69"/>
    </row>
    <row r="243" spans="6:69" x14ac:dyDescent="0.25">
      <c r="F243" s="82"/>
      <c r="G243" s="82"/>
      <c r="H243" s="83"/>
      <c r="I243" s="83"/>
      <c r="L243" s="73"/>
      <c r="BG243" s="86"/>
      <c r="BH243" s="87">
        <f t="shared" si="19"/>
        <v>0</v>
      </c>
      <c r="BI243" s="88">
        <f t="shared" si="20"/>
        <v>0</v>
      </c>
      <c r="BJ243" s="88">
        <f t="shared" si="21"/>
        <v>0</v>
      </c>
      <c r="BQ243" s="69"/>
    </row>
    <row r="244" spans="6:69" x14ac:dyDescent="0.25">
      <c r="F244" s="82"/>
      <c r="G244" s="82"/>
      <c r="H244" s="83"/>
      <c r="I244" s="83"/>
      <c r="L244" s="73"/>
      <c r="BG244" s="86"/>
      <c r="BH244" s="87">
        <f t="shared" si="19"/>
        <v>0</v>
      </c>
      <c r="BI244" s="88">
        <f t="shared" si="20"/>
        <v>0</v>
      </c>
      <c r="BJ244" s="88">
        <f t="shared" si="21"/>
        <v>0</v>
      </c>
      <c r="BQ244" s="69"/>
    </row>
    <row r="245" spans="6:69" x14ac:dyDescent="0.25">
      <c r="F245" s="82"/>
      <c r="G245" s="82"/>
      <c r="H245" s="83"/>
      <c r="I245" s="83"/>
      <c r="L245" s="73"/>
      <c r="BG245" s="86"/>
      <c r="BH245" s="87">
        <f t="shared" si="19"/>
        <v>0</v>
      </c>
      <c r="BI245" s="88">
        <f t="shared" si="20"/>
        <v>0</v>
      </c>
      <c r="BJ245" s="88">
        <f t="shared" si="21"/>
        <v>0</v>
      </c>
      <c r="BQ245" s="69"/>
    </row>
    <row r="246" spans="6:69" x14ac:dyDescent="0.25">
      <c r="F246" s="82"/>
      <c r="G246" s="82"/>
      <c r="H246" s="83"/>
      <c r="I246" s="83"/>
      <c r="L246" s="73"/>
      <c r="BG246" s="86"/>
      <c r="BH246" s="87">
        <f t="shared" si="19"/>
        <v>0</v>
      </c>
      <c r="BI246" s="88">
        <f t="shared" si="20"/>
        <v>0</v>
      </c>
      <c r="BJ246" s="88">
        <f t="shared" si="21"/>
        <v>0</v>
      </c>
      <c r="BQ246" s="69"/>
    </row>
    <row r="247" spans="6:69" x14ac:dyDescent="0.25">
      <c r="F247" s="82"/>
      <c r="G247" s="82"/>
      <c r="H247" s="83"/>
      <c r="I247" s="83"/>
      <c r="L247" s="73"/>
      <c r="BG247" s="86"/>
      <c r="BH247" s="87">
        <f t="shared" si="19"/>
        <v>0</v>
      </c>
      <c r="BI247" s="88">
        <f t="shared" si="20"/>
        <v>0</v>
      </c>
      <c r="BJ247" s="88">
        <f t="shared" si="21"/>
        <v>0</v>
      </c>
      <c r="BQ247" s="69"/>
    </row>
    <row r="248" spans="6:69" x14ac:dyDescent="0.25">
      <c r="F248" s="82"/>
      <c r="G248" s="82"/>
      <c r="H248" s="83"/>
      <c r="I248" s="83"/>
      <c r="L248" s="73"/>
      <c r="BG248" s="86"/>
      <c r="BH248" s="87">
        <f t="shared" si="19"/>
        <v>0</v>
      </c>
      <c r="BI248" s="88">
        <f t="shared" si="20"/>
        <v>0</v>
      </c>
      <c r="BJ248" s="88">
        <f t="shared" si="21"/>
        <v>0</v>
      </c>
      <c r="BQ248" s="69"/>
    </row>
    <row r="249" spans="6:69" x14ac:dyDescent="0.25">
      <c r="F249" s="82"/>
      <c r="G249" s="82"/>
      <c r="H249" s="83"/>
      <c r="I249" s="83"/>
      <c r="L249" s="73"/>
      <c r="BG249" s="86"/>
      <c r="BH249" s="87">
        <f t="shared" si="19"/>
        <v>0</v>
      </c>
      <c r="BI249" s="88">
        <f t="shared" si="20"/>
        <v>0</v>
      </c>
      <c r="BJ249" s="88">
        <f t="shared" si="21"/>
        <v>0</v>
      </c>
      <c r="BQ249" s="69"/>
    </row>
    <row r="250" spans="6:69" x14ac:dyDescent="0.25">
      <c r="F250" s="82"/>
      <c r="G250" s="82"/>
      <c r="H250" s="83"/>
      <c r="I250" s="83"/>
      <c r="L250" s="73"/>
      <c r="BG250" s="86"/>
      <c r="BH250" s="87">
        <f t="shared" si="19"/>
        <v>0</v>
      </c>
      <c r="BI250" s="88">
        <f t="shared" si="20"/>
        <v>0</v>
      </c>
      <c r="BJ250" s="88">
        <f t="shared" si="21"/>
        <v>0</v>
      </c>
      <c r="BQ250" s="69"/>
    </row>
    <row r="251" spans="6:69" x14ac:dyDescent="0.25">
      <c r="F251" s="82"/>
      <c r="G251" s="82"/>
      <c r="H251" s="83"/>
      <c r="I251" s="83"/>
      <c r="L251" s="73"/>
      <c r="BG251" s="86"/>
      <c r="BH251" s="87">
        <f t="shared" si="19"/>
        <v>0</v>
      </c>
      <c r="BI251" s="88">
        <f t="shared" si="20"/>
        <v>0</v>
      </c>
      <c r="BJ251" s="88">
        <f t="shared" si="21"/>
        <v>0</v>
      </c>
      <c r="BQ251" s="69"/>
    </row>
    <row r="252" spans="6:69" x14ac:dyDescent="0.25">
      <c r="F252" s="82"/>
      <c r="G252" s="82"/>
      <c r="H252" s="83"/>
      <c r="I252" s="83"/>
      <c r="L252" s="73"/>
      <c r="BG252" s="86"/>
      <c r="BH252" s="87">
        <f t="shared" si="19"/>
        <v>0</v>
      </c>
      <c r="BI252" s="88">
        <f t="shared" si="20"/>
        <v>0</v>
      </c>
      <c r="BJ252" s="88">
        <f t="shared" si="21"/>
        <v>0</v>
      </c>
      <c r="BQ252" s="69"/>
    </row>
    <row r="253" spans="6:69" x14ac:dyDescent="0.25">
      <c r="F253" s="82"/>
      <c r="G253" s="82"/>
      <c r="H253" s="83"/>
      <c r="I253" s="83"/>
      <c r="L253" s="73"/>
      <c r="BG253" s="86"/>
      <c r="BH253" s="87">
        <f t="shared" si="19"/>
        <v>0</v>
      </c>
      <c r="BI253" s="88">
        <f t="shared" si="20"/>
        <v>0</v>
      </c>
      <c r="BJ253" s="88">
        <f t="shared" si="21"/>
        <v>0</v>
      </c>
      <c r="BQ253" s="69"/>
    </row>
    <row r="254" spans="6:69" x14ac:dyDescent="0.25">
      <c r="F254" s="82"/>
      <c r="G254" s="82"/>
      <c r="H254" s="83"/>
      <c r="I254" s="83"/>
      <c r="L254" s="73"/>
      <c r="BG254" s="86"/>
      <c r="BH254" s="87">
        <f t="shared" si="19"/>
        <v>0</v>
      </c>
      <c r="BI254" s="88">
        <f t="shared" si="20"/>
        <v>0</v>
      </c>
      <c r="BJ254" s="88">
        <f t="shared" si="21"/>
        <v>0</v>
      </c>
      <c r="BQ254" s="69"/>
    </row>
    <row r="255" spans="6:69" x14ac:dyDescent="0.25">
      <c r="F255" s="82"/>
      <c r="G255" s="82"/>
      <c r="H255" s="83"/>
      <c r="I255" s="83"/>
      <c r="L255" s="73"/>
      <c r="BG255" s="86"/>
      <c r="BH255" s="87">
        <f t="shared" si="19"/>
        <v>0</v>
      </c>
      <c r="BI255" s="88">
        <f t="shared" si="20"/>
        <v>0</v>
      </c>
      <c r="BJ255" s="88">
        <f t="shared" si="21"/>
        <v>0</v>
      </c>
      <c r="BQ255" s="69"/>
    </row>
    <row r="256" spans="6:69" x14ac:dyDescent="0.25">
      <c r="F256" s="82"/>
      <c r="G256" s="82"/>
      <c r="H256" s="83"/>
      <c r="I256" s="83"/>
      <c r="L256" s="73"/>
      <c r="BG256" s="86"/>
      <c r="BH256" s="87">
        <f t="shared" si="19"/>
        <v>0</v>
      </c>
      <c r="BI256" s="88">
        <f t="shared" si="20"/>
        <v>0</v>
      </c>
      <c r="BJ256" s="88">
        <f t="shared" si="21"/>
        <v>0</v>
      </c>
      <c r="BQ256" s="69"/>
    </row>
    <row r="257" spans="6:69" x14ac:dyDescent="0.25">
      <c r="F257" s="82"/>
      <c r="G257" s="82"/>
      <c r="H257" s="83"/>
      <c r="I257" s="83"/>
      <c r="L257" s="73"/>
      <c r="BG257" s="86"/>
      <c r="BH257" s="87">
        <f t="shared" si="19"/>
        <v>0</v>
      </c>
      <c r="BI257" s="88">
        <f t="shared" si="20"/>
        <v>0</v>
      </c>
      <c r="BJ257" s="88">
        <f t="shared" si="21"/>
        <v>0</v>
      </c>
      <c r="BQ257" s="69"/>
    </row>
    <row r="258" spans="6:69" x14ac:dyDescent="0.25">
      <c r="F258" s="82"/>
      <c r="G258" s="82"/>
      <c r="H258" s="83"/>
      <c r="I258" s="83"/>
      <c r="L258" s="73"/>
      <c r="BG258" s="86"/>
      <c r="BH258" s="87">
        <f t="shared" si="19"/>
        <v>0</v>
      </c>
      <c r="BI258" s="88">
        <f t="shared" si="20"/>
        <v>0</v>
      </c>
      <c r="BJ258" s="88">
        <f t="shared" si="21"/>
        <v>0</v>
      </c>
      <c r="BQ258" s="69"/>
    </row>
    <row r="259" spans="6:69" x14ac:dyDescent="0.25">
      <c r="F259" s="82"/>
      <c r="G259" s="82"/>
      <c r="H259" s="83"/>
      <c r="I259" s="83"/>
      <c r="BG259" s="86"/>
      <c r="BH259" s="87">
        <f t="shared" si="19"/>
        <v>0</v>
      </c>
      <c r="BI259" s="88">
        <f t="shared" si="20"/>
        <v>0</v>
      </c>
      <c r="BJ259" s="88">
        <f t="shared" si="21"/>
        <v>0</v>
      </c>
      <c r="BQ259" s="69"/>
    </row>
    <row r="260" spans="6:69" x14ac:dyDescent="0.25">
      <c r="F260" s="82"/>
      <c r="G260" s="82"/>
      <c r="H260" s="83"/>
      <c r="I260" s="83"/>
      <c r="BG260" s="86"/>
      <c r="BH260" s="87">
        <f t="shared" si="19"/>
        <v>0</v>
      </c>
      <c r="BI260" s="88">
        <f t="shared" si="20"/>
        <v>0</v>
      </c>
      <c r="BJ260" s="88">
        <f t="shared" si="21"/>
        <v>0</v>
      </c>
      <c r="BQ260" s="69"/>
    </row>
    <row r="261" spans="6:69" x14ac:dyDescent="0.25">
      <c r="F261" s="82"/>
      <c r="G261" s="82"/>
      <c r="H261" s="83"/>
      <c r="I261" s="83"/>
      <c r="BG261" s="86"/>
      <c r="BH261" s="87">
        <f t="shared" si="19"/>
        <v>0</v>
      </c>
      <c r="BI261" s="88">
        <f t="shared" si="20"/>
        <v>0</v>
      </c>
      <c r="BJ261" s="88">
        <f t="shared" si="21"/>
        <v>0</v>
      </c>
      <c r="BQ261" s="69"/>
    </row>
    <row r="262" spans="6:69" x14ac:dyDescent="0.25">
      <c r="F262" s="82"/>
      <c r="G262" s="82"/>
      <c r="H262" s="83"/>
      <c r="I262" s="83"/>
      <c r="BG262" s="86"/>
      <c r="BH262" s="87">
        <f t="shared" si="19"/>
        <v>0</v>
      </c>
      <c r="BI262" s="88">
        <f t="shared" si="20"/>
        <v>0</v>
      </c>
      <c r="BJ262" s="88">
        <f t="shared" si="21"/>
        <v>0</v>
      </c>
      <c r="BQ262" s="69"/>
    </row>
    <row r="263" spans="6:69" x14ac:dyDescent="0.25">
      <c r="F263" s="82"/>
      <c r="G263" s="82"/>
      <c r="H263" s="83"/>
      <c r="I263" s="83"/>
      <c r="BG263" s="86"/>
      <c r="BH263" s="87">
        <f t="shared" si="19"/>
        <v>0</v>
      </c>
      <c r="BI263" s="88">
        <f t="shared" si="20"/>
        <v>0</v>
      </c>
      <c r="BJ263" s="88">
        <f t="shared" si="21"/>
        <v>0</v>
      </c>
      <c r="BQ263" s="69"/>
    </row>
    <row r="264" spans="6:69" x14ac:dyDescent="0.25">
      <c r="F264" s="82"/>
      <c r="G264" s="82"/>
      <c r="H264" s="83"/>
      <c r="I264" s="83"/>
      <c r="BG264" s="86"/>
      <c r="BH264" s="87">
        <f t="shared" si="19"/>
        <v>0</v>
      </c>
      <c r="BI264" s="88">
        <f t="shared" si="20"/>
        <v>0</v>
      </c>
      <c r="BJ264" s="88">
        <f t="shared" si="21"/>
        <v>0</v>
      </c>
      <c r="BQ264" s="69"/>
    </row>
    <row r="265" spans="6:69" x14ac:dyDescent="0.25">
      <c r="F265" s="82"/>
      <c r="G265" s="82"/>
      <c r="H265" s="83"/>
      <c r="I265" s="83"/>
      <c r="BG265" s="86"/>
      <c r="BH265" s="87">
        <f t="shared" si="19"/>
        <v>0</v>
      </c>
      <c r="BI265" s="88">
        <f t="shared" si="20"/>
        <v>0</v>
      </c>
      <c r="BJ265" s="88">
        <f t="shared" si="21"/>
        <v>0</v>
      </c>
      <c r="BQ265" s="69"/>
    </row>
    <row r="266" spans="6:69" x14ac:dyDescent="0.25">
      <c r="F266" s="82"/>
      <c r="G266" s="82"/>
      <c r="H266" s="83"/>
      <c r="I266" s="83"/>
      <c r="BG266" s="86"/>
      <c r="BH266" s="87">
        <f t="shared" si="19"/>
        <v>0</v>
      </c>
      <c r="BI266" s="88">
        <f t="shared" si="20"/>
        <v>0</v>
      </c>
      <c r="BJ266" s="88">
        <f t="shared" si="21"/>
        <v>0</v>
      </c>
      <c r="BQ266" s="69"/>
    </row>
    <row r="267" spans="6:69" x14ac:dyDescent="0.25">
      <c r="F267" s="82"/>
      <c r="G267" s="82"/>
      <c r="H267" s="83"/>
      <c r="I267" s="83"/>
      <c r="BG267" s="86"/>
      <c r="BH267" s="87">
        <f t="shared" si="19"/>
        <v>0</v>
      </c>
      <c r="BI267" s="88">
        <f t="shared" si="20"/>
        <v>0</v>
      </c>
      <c r="BJ267" s="88">
        <f t="shared" si="21"/>
        <v>0</v>
      </c>
      <c r="BQ267" s="69"/>
    </row>
    <row r="268" spans="6:69" x14ac:dyDescent="0.25">
      <c r="F268" s="82"/>
      <c r="G268" s="82"/>
      <c r="H268" s="83"/>
      <c r="I268" s="83"/>
      <c r="BG268" s="86"/>
      <c r="BH268" s="87">
        <f t="shared" si="19"/>
        <v>0</v>
      </c>
      <c r="BI268" s="88">
        <f t="shared" si="20"/>
        <v>0</v>
      </c>
      <c r="BJ268" s="88">
        <f t="shared" si="21"/>
        <v>0</v>
      </c>
      <c r="BQ268" s="69"/>
    </row>
    <row r="269" spans="6:69" x14ac:dyDescent="0.25">
      <c r="F269" s="82"/>
      <c r="G269" s="82"/>
      <c r="H269" s="83"/>
      <c r="I269" s="83"/>
      <c r="BG269" s="86"/>
      <c r="BH269" s="87">
        <f t="shared" si="19"/>
        <v>0</v>
      </c>
      <c r="BI269" s="88">
        <f t="shared" si="20"/>
        <v>0</v>
      </c>
      <c r="BJ269" s="88">
        <f t="shared" si="21"/>
        <v>0</v>
      </c>
      <c r="BQ269" s="69"/>
    </row>
    <row r="270" spans="6:69" x14ac:dyDescent="0.25">
      <c r="F270" s="82"/>
      <c r="G270" s="82"/>
      <c r="H270" s="83"/>
      <c r="I270" s="83"/>
      <c r="BG270" s="86"/>
      <c r="BH270" s="87">
        <f t="shared" ref="BH270:BH333" si="22">$I270-$H270</f>
        <v>0</v>
      </c>
      <c r="BI270" s="88">
        <f t="shared" ref="BI270:BI333" si="23">IF($N270="W", IF(ROW()=1, 1, BI269+1), 0)</f>
        <v>0</v>
      </c>
      <c r="BJ270" s="88">
        <f t="shared" ref="BJ270:BJ333" si="24">IF($N270="l", IF(ROW()=1, 1, BJ269+1), 0)</f>
        <v>0</v>
      </c>
      <c r="BQ270" s="69"/>
    </row>
    <row r="271" spans="6:69" x14ac:dyDescent="0.25">
      <c r="F271" s="82"/>
      <c r="G271" s="82"/>
      <c r="H271" s="83"/>
      <c r="I271" s="83"/>
      <c r="BG271" s="86"/>
      <c r="BH271" s="87">
        <f t="shared" si="22"/>
        <v>0</v>
      </c>
      <c r="BI271" s="88">
        <f t="shared" si="23"/>
        <v>0</v>
      </c>
      <c r="BJ271" s="88">
        <f t="shared" si="24"/>
        <v>0</v>
      </c>
      <c r="BQ271" s="69"/>
    </row>
    <row r="272" spans="6:69" x14ac:dyDescent="0.25">
      <c r="F272" s="82"/>
      <c r="G272" s="82"/>
      <c r="H272" s="83"/>
      <c r="I272" s="83"/>
      <c r="BG272" s="86"/>
      <c r="BH272" s="87">
        <f t="shared" si="22"/>
        <v>0</v>
      </c>
      <c r="BI272" s="88">
        <f t="shared" si="23"/>
        <v>0</v>
      </c>
      <c r="BJ272" s="88">
        <f t="shared" si="24"/>
        <v>0</v>
      </c>
      <c r="BQ272" s="69"/>
    </row>
    <row r="273" spans="6:69" x14ac:dyDescent="0.25">
      <c r="F273" s="82"/>
      <c r="G273" s="82"/>
      <c r="H273" s="83"/>
      <c r="I273" s="83"/>
      <c r="BG273" s="86"/>
      <c r="BH273" s="87">
        <f t="shared" si="22"/>
        <v>0</v>
      </c>
      <c r="BI273" s="88">
        <f t="shared" si="23"/>
        <v>0</v>
      </c>
      <c r="BJ273" s="88">
        <f t="shared" si="24"/>
        <v>0</v>
      </c>
      <c r="BQ273" s="69"/>
    </row>
    <row r="274" spans="6:69" x14ac:dyDescent="0.25">
      <c r="F274" s="82"/>
      <c r="G274" s="82"/>
      <c r="H274" s="83"/>
      <c r="I274" s="83"/>
      <c r="BG274" s="86"/>
      <c r="BH274" s="87">
        <f t="shared" si="22"/>
        <v>0</v>
      </c>
      <c r="BI274" s="88">
        <f t="shared" si="23"/>
        <v>0</v>
      </c>
      <c r="BJ274" s="88">
        <f t="shared" si="24"/>
        <v>0</v>
      </c>
      <c r="BQ274" s="69"/>
    </row>
    <row r="275" spans="6:69" x14ac:dyDescent="0.25">
      <c r="F275" s="82"/>
      <c r="G275" s="82"/>
      <c r="H275" s="83"/>
      <c r="I275" s="83"/>
      <c r="BG275" s="86"/>
      <c r="BH275" s="87">
        <f t="shared" si="22"/>
        <v>0</v>
      </c>
      <c r="BI275" s="88">
        <f t="shared" si="23"/>
        <v>0</v>
      </c>
      <c r="BJ275" s="88">
        <f t="shared" si="24"/>
        <v>0</v>
      </c>
      <c r="BQ275" s="69"/>
    </row>
    <row r="276" spans="6:69" x14ac:dyDescent="0.25">
      <c r="F276" s="82"/>
      <c r="G276" s="82"/>
      <c r="H276" s="83"/>
      <c r="I276" s="83"/>
      <c r="BG276" s="86"/>
      <c r="BH276" s="87">
        <f t="shared" si="22"/>
        <v>0</v>
      </c>
      <c r="BI276" s="88">
        <f t="shared" si="23"/>
        <v>0</v>
      </c>
      <c r="BJ276" s="88">
        <f t="shared" si="24"/>
        <v>0</v>
      </c>
      <c r="BQ276" s="69"/>
    </row>
    <row r="277" spans="6:69" x14ac:dyDescent="0.25">
      <c r="F277" s="82"/>
      <c r="G277" s="82"/>
      <c r="H277" s="83"/>
      <c r="I277" s="83"/>
      <c r="BG277" s="86"/>
      <c r="BH277" s="87">
        <f t="shared" si="22"/>
        <v>0</v>
      </c>
      <c r="BI277" s="88">
        <f t="shared" si="23"/>
        <v>0</v>
      </c>
      <c r="BJ277" s="88">
        <f t="shared" si="24"/>
        <v>0</v>
      </c>
      <c r="BQ277" s="69"/>
    </row>
    <row r="278" spans="6:69" x14ac:dyDescent="0.25">
      <c r="F278" s="82"/>
      <c r="G278" s="82"/>
      <c r="H278" s="83"/>
      <c r="I278" s="83"/>
      <c r="BG278" s="86"/>
      <c r="BH278" s="87">
        <f t="shared" si="22"/>
        <v>0</v>
      </c>
      <c r="BI278" s="88">
        <f t="shared" si="23"/>
        <v>0</v>
      </c>
      <c r="BJ278" s="88">
        <f t="shared" si="24"/>
        <v>0</v>
      </c>
      <c r="BQ278" s="69"/>
    </row>
    <row r="279" spans="6:69" x14ac:dyDescent="0.25">
      <c r="F279" s="82"/>
      <c r="G279" s="82"/>
      <c r="H279" s="83"/>
      <c r="I279" s="83"/>
      <c r="BG279" s="86"/>
      <c r="BH279" s="87">
        <f t="shared" si="22"/>
        <v>0</v>
      </c>
      <c r="BI279" s="88">
        <f t="shared" si="23"/>
        <v>0</v>
      </c>
      <c r="BJ279" s="88">
        <f t="shared" si="24"/>
        <v>0</v>
      </c>
      <c r="BQ279" s="69"/>
    </row>
    <row r="280" spans="6:69" x14ac:dyDescent="0.25">
      <c r="F280" s="82"/>
      <c r="G280" s="82"/>
      <c r="H280" s="83"/>
      <c r="I280" s="83"/>
      <c r="BG280" s="86"/>
      <c r="BH280" s="87">
        <f t="shared" si="22"/>
        <v>0</v>
      </c>
      <c r="BI280" s="88">
        <f t="shared" si="23"/>
        <v>0</v>
      </c>
      <c r="BJ280" s="88">
        <f t="shared" si="24"/>
        <v>0</v>
      </c>
      <c r="BQ280" s="69"/>
    </row>
    <row r="281" spans="6:69" x14ac:dyDescent="0.25">
      <c r="F281" s="82"/>
      <c r="G281" s="82"/>
      <c r="H281" s="83"/>
      <c r="I281" s="83"/>
      <c r="BG281" s="86"/>
      <c r="BH281" s="87">
        <f t="shared" si="22"/>
        <v>0</v>
      </c>
      <c r="BI281" s="88">
        <f t="shared" si="23"/>
        <v>0</v>
      </c>
      <c r="BJ281" s="88">
        <f t="shared" si="24"/>
        <v>0</v>
      </c>
      <c r="BQ281" s="69"/>
    </row>
    <row r="282" spans="6:69" x14ac:dyDescent="0.25">
      <c r="F282" s="82"/>
      <c r="G282" s="82"/>
      <c r="H282" s="83"/>
      <c r="I282" s="83"/>
      <c r="BG282" s="86"/>
      <c r="BH282" s="87">
        <f t="shared" si="22"/>
        <v>0</v>
      </c>
      <c r="BI282" s="88">
        <f t="shared" si="23"/>
        <v>0</v>
      </c>
      <c r="BJ282" s="88">
        <f t="shared" si="24"/>
        <v>0</v>
      </c>
      <c r="BQ282" s="69"/>
    </row>
    <row r="283" spans="6:69" x14ac:dyDescent="0.25">
      <c r="F283" s="82"/>
      <c r="G283" s="82"/>
      <c r="H283" s="83"/>
      <c r="I283" s="83"/>
      <c r="BG283" s="86"/>
      <c r="BH283" s="87">
        <f t="shared" si="22"/>
        <v>0</v>
      </c>
      <c r="BI283" s="88">
        <f t="shared" si="23"/>
        <v>0</v>
      </c>
      <c r="BJ283" s="88">
        <f t="shared" si="24"/>
        <v>0</v>
      </c>
      <c r="BQ283" s="69"/>
    </row>
    <row r="284" spans="6:69" x14ac:dyDescent="0.25">
      <c r="F284" s="82"/>
      <c r="G284" s="82"/>
      <c r="H284" s="83"/>
      <c r="I284" s="83"/>
      <c r="BG284" s="86"/>
      <c r="BH284" s="87">
        <f t="shared" si="22"/>
        <v>0</v>
      </c>
      <c r="BI284" s="88">
        <f t="shared" si="23"/>
        <v>0</v>
      </c>
      <c r="BJ284" s="88">
        <f t="shared" si="24"/>
        <v>0</v>
      </c>
      <c r="BQ284" s="69"/>
    </row>
    <row r="285" spans="6:69" x14ac:dyDescent="0.25">
      <c r="F285" s="82"/>
      <c r="G285" s="82"/>
      <c r="H285" s="83"/>
      <c r="I285" s="83"/>
      <c r="BG285" s="86"/>
      <c r="BH285" s="87">
        <f t="shared" si="22"/>
        <v>0</v>
      </c>
      <c r="BI285" s="88">
        <f t="shared" si="23"/>
        <v>0</v>
      </c>
      <c r="BJ285" s="88">
        <f t="shared" si="24"/>
        <v>0</v>
      </c>
      <c r="BQ285" s="69"/>
    </row>
    <row r="286" spans="6:69" x14ac:dyDescent="0.25">
      <c r="F286" s="82"/>
      <c r="G286" s="82"/>
      <c r="H286" s="83"/>
      <c r="I286" s="83"/>
      <c r="BG286" s="86"/>
      <c r="BH286" s="87">
        <f t="shared" si="22"/>
        <v>0</v>
      </c>
      <c r="BI286" s="88">
        <f t="shared" si="23"/>
        <v>0</v>
      </c>
      <c r="BJ286" s="88">
        <f t="shared" si="24"/>
        <v>0</v>
      </c>
      <c r="BQ286" s="69"/>
    </row>
    <row r="287" spans="6:69" x14ac:dyDescent="0.25">
      <c r="F287" s="82"/>
      <c r="G287" s="82"/>
      <c r="H287" s="83"/>
      <c r="I287" s="83"/>
      <c r="BG287" s="86"/>
      <c r="BH287" s="87">
        <f t="shared" si="22"/>
        <v>0</v>
      </c>
      <c r="BI287" s="88">
        <f t="shared" si="23"/>
        <v>0</v>
      </c>
      <c r="BJ287" s="88">
        <f t="shared" si="24"/>
        <v>0</v>
      </c>
      <c r="BQ287" s="69"/>
    </row>
    <row r="288" spans="6:69" x14ac:dyDescent="0.25">
      <c r="F288" s="82"/>
      <c r="G288" s="82"/>
      <c r="H288" s="83"/>
      <c r="I288" s="83"/>
      <c r="BG288" s="86"/>
      <c r="BH288" s="87">
        <f t="shared" si="22"/>
        <v>0</v>
      </c>
      <c r="BI288" s="88">
        <f t="shared" si="23"/>
        <v>0</v>
      </c>
      <c r="BJ288" s="88">
        <f t="shared" si="24"/>
        <v>0</v>
      </c>
      <c r="BQ288" s="69"/>
    </row>
    <row r="289" spans="6:69" x14ac:dyDescent="0.25">
      <c r="F289" s="82"/>
      <c r="G289" s="82"/>
      <c r="H289" s="83"/>
      <c r="I289" s="83"/>
      <c r="BG289" s="86"/>
      <c r="BH289" s="87">
        <f t="shared" si="22"/>
        <v>0</v>
      </c>
      <c r="BI289" s="88">
        <f t="shared" si="23"/>
        <v>0</v>
      </c>
      <c r="BJ289" s="88">
        <f t="shared" si="24"/>
        <v>0</v>
      </c>
      <c r="BQ289" s="69"/>
    </row>
    <row r="290" spans="6:69" x14ac:dyDescent="0.25">
      <c r="F290" s="82"/>
      <c r="G290" s="82"/>
      <c r="H290" s="83"/>
      <c r="I290" s="83"/>
      <c r="BG290" s="86"/>
      <c r="BH290" s="87">
        <f t="shared" si="22"/>
        <v>0</v>
      </c>
      <c r="BI290" s="88">
        <f t="shared" si="23"/>
        <v>0</v>
      </c>
      <c r="BJ290" s="88">
        <f t="shared" si="24"/>
        <v>0</v>
      </c>
      <c r="BQ290" s="69"/>
    </row>
    <row r="291" spans="6:69" x14ac:dyDescent="0.25">
      <c r="F291" s="82"/>
      <c r="G291" s="82"/>
      <c r="H291" s="83"/>
      <c r="I291" s="83"/>
      <c r="BG291" s="86"/>
      <c r="BH291" s="87">
        <f t="shared" si="22"/>
        <v>0</v>
      </c>
      <c r="BI291" s="88">
        <f t="shared" si="23"/>
        <v>0</v>
      </c>
      <c r="BJ291" s="88">
        <f t="shared" si="24"/>
        <v>0</v>
      </c>
      <c r="BQ291" s="69"/>
    </row>
    <row r="292" spans="6:69" x14ac:dyDescent="0.25">
      <c r="F292" s="82"/>
      <c r="G292" s="82"/>
      <c r="H292" s="83"/>
      <c r="I292" s="83"/>
      <c r="BG292" s="86"/>
      <c r="BH292" s="87">
        <f t="shared" si="22"/>
        <v>0</v>
      </c>
      <c r="BI292" s="88">
        <f t="shared" si="23"/>
        <v>0</v>
      </c>
      <c r="BJ292" s="88">
        <f t="shared" si="24"/>
        <v>0</v>
      </c>
      <c r="BQ292" s="69"/>
    </row>
    <row r="293" spans="6:69" x14ac:dyDescent="0.25">
      <c r="F293" s="82"/>
      <c r="G293" s="82"/>
      <c r="H293" s="83"/>
      <c r="I293" s="83"/>
      <c r="BG293" s="86"/>
      <c r="BH293" s="87">
        <f t="shared" si="22"/>
        <v>0</v>
      </c>
      <c r="BI293" s="88">
        <f t="shared" si="23"/>
        <v>0</v>
      </c>
      <c r="BJ293" s="88">
        <f t="shared" si="24"/>
        <v>0</v>
      </c>
      <c r="BQ293" s="69"/>
    </row>
    <row r="294" spans="6:69" x14ac:dyDescent="0.25">
      <c r="F294" s="82"/>
      <c r="G294" s="82"/>
      <c r="H294" s="83"/>
      <c r="I294" s="83"/>
      <c r="BG294" s="86"/>
      <c r="BH294" s="87">
        <f t="shared" si="22"/>
        <v>0</v>
      </c>
      <c r="BI294" s="88">
        <f t="shared" si="23"/>
        <v>0</v>
      </c>
      <c r="BJ294" s="88">
        <f t="shared" si="24"/>
        <v>0</v>
      </c>
      <c r="BQ294" s="69"/>
    </row>
    <row r="295" spans="6:69" x14ac:dyDescent="0.25">
      <c r="F295" s="82"/>
      <c r="G295" s="82"/>
      <c r="H295" s="83"/>
      <c r="I295" s="83"/>
      <c r="BG295" s="86"/>
      <c r="BH295" s="87">
        <f t="shared" si="22"/>
        <v>0</v>
      </c>
      <c r="BI295" s="88">
        <f t="shared" si="23"/>
        <v>0</v>
      </c>
      <c r="BJ295" s="88">
        <f t="shared" si="24"/>
        <v>0</v>
      </c>
      <c r="BQ295" s="69"/>
    </row>
    <row r="296" spans="6:69" x14ac:dyDescent="0.25">
      <c r="G296" s="82"/>
      <c r="H296" s="83"/>
      <c r="I296" s="83"/>
      <c r="BG296" s="86"/>
      <c r="BH296" s="87">
        <f t="shared" si="22"/>
        <v>0</v>
      </c>
      <c r="BI296" s="88">
        <f t="shared" si="23"/>
        <v>0</v>
      </c>
      <c r="BJ296" s="88">
        <f t="shared" si="24"/>
        <v>0</v>
      </c>
      <c r="BQ296" s="69"/>
    </row>
    <row r="297" spans="6:69" x14ac:dyDescent="0.25">
      <c r="G297" s="82"/>
      <c r="H297" s="83"/>
      <c r="I297" s="83"/>
      <c r="BG297" s="86"/>
      <c r="BH297" s="87">
        <f t="shared" si="22"/>
        <v>0</v>
      </c>
      <c r="BI297" s="88">
        <f t="shared" si="23"/>
        <v>0</v>
      </c>
      <c r="BJ297" s="88">
        <f t="shared" si="24"/>
        <v>0</v>
      </c>
      <c r="BQ297" s="69"/>
    </row>
    <row r="298" spans="6:69" x14ac:dyDescent="0.25">
      <c r="G298" s="82"/>
      <c r="H298" s="83"/>
      <c r="I298" s="83"/>
      <c r="BG298" s="86"/>
      <c r="BH298" s="87">
        <f t="shared" si="22"/>
        <v>0</v>
      </c>
      <c r="BI298" s="88">
        <f t="shared" si="23"/>
        <v>0</v>
      </c>
      <c r="BJ298" s="88">
        <f t="shared" si="24"/>
        <v>0</v>
      </c>
      <c r="BQ298" s="69"/>
    </row>
    <row r="299" spans="6:69" x14ac:dyDescent="0.25">
      <c r="G299" s="82"/>
      <c r="H299" s="83"/>
      <c r="I299" s="83"/>
      <c r="BG299" s="86"/>
      <c r="BH299" s="87">
        <f t="shared" si="22"/>
        <v>0</v>
      </c>
      <c r="BI299" s="88">
        <f t="shared" si="23"/>
        <v>0</v>
      </c>
      <c r="BJ299" s="88">
        <f t="shared" si="24"/>
        <v>0</v>
      </c>
      <c r="BQ299" s="69"/>
    </row>
    <row r="300" spans="6:69" x14ac:dyDescent="0.25">
      <c r="G300" s="82"/>
      <c r="H300" s="83"/>
      <c r="I300" s="83"/>
      <c r="BG300" s="86"/>
      <c r="BH300" s="87">
        <f t="shared" si="22"/>
        <v>0</v>
      </c>
      <c r="BI300" s="88">
        <f t="shared" si="23"/>
        <v>0</v>
      </c>
      <c r="BJ300" s="88">
        <f t="shared" si="24"/>
        <v>0</v>
      </c>
      <c r="BQ300" s="69"/>
    </row>
    <row r="301" spans="6:69" x14ac:dyDescent="0.25">
      <c r="G301" s="82"/>
      <c r="H301" s="83"/>
      <c r="I301" s="83"/>
      <c r="BG301" s="86"/>
      <c r="BH301" s="87">
        <f t="shared" si="22"/>
        <v>0</v>
      </c>
      <c r="BI301" s="88">
        <f t="shared" si="23"/>
        <v>0</v>
      </c>
      <c r="BJ301" s="88">
        <f t="shared" si="24"/>
        <v>0</v>
      </c>
      <c r="BQ301" s="69"/>
    </row>
    <row r="302" spans="6:69" x14ac:dyDescent="0.25">
      <c r="G302" s="82"/>
      <c r="H302" s="83"/>
      <c r="I302" s="83"/>
      <c r="BG302" s="86"/>
      <c r="BH302" s="87">
        <f t="shared" si="22"/>
        <v>0</v>
      </c>
      <c r="BI302" s="88">
        <f t="shared" si="23"/>
        <v>0</v>
      </c>
      <c r="BJ302" s="88">
        <f t="shared" si="24"/>
        <v>0</v>
      </c>
      <c r="BQ302" s="69"/>
    </row>
    <row r="303" spans="6:69" x14ac:dyDescent="0.25">
      <c r="G303" s="82"/>
      <c r="H303" s="83"/>
      <c r="I303" s="83"/>
      <c r="BG303" s="86"/>
      <c r="BH303" s="87">
        <f t="shared" si="22"/>
        <v>0</v>
      </c>
      <c r="BI303" s="88">
        <f t="shared" si="23"/>
        <v>0</v>
      </c>
      <c r="BJ303" s="88">
        <f t="shared" si="24"/>
        <v>0</v>
      </c>
      <c r="BQ303" s="69"/>
    </row>
    <row r="304" spans="6:69" x14ac:dyDescent="0.25">
      <c r="G304" s="82"/>
      <c r="H304" s="83"/>
      <c r="I304" s="83"/>
      <c r="BG304" s="86"/>
      <c r="BH304" s="87">
        <f t="shared" si="22"/>
        <v>0</v>
      </c>
      <c r="BI304" s="88">
        <f t="shared" si="23"/>
        <v>0</v>
      </c>
      <c r="BJ304" s="88">
        <f t="shared" si="24"/>
        <v>0</v>
      </c>
      <c r="BQ304" s="69"/>
    </row>
    <row r="305" spans="7:69" x14ac:dyDescent="0.25">
      <c r="G305" s="82"/>
      <c r="H305" s="83"/>
      <c r="I305" s="83"/>
      <c r="BG305" s="86"/>
      <c r="BH305" s="87">
        <f t="shared" si="22"/>
        <v>0</v>
      </c>
      <c r="BI305" s="88">
        <f t="shared" si="23"/>
        <v>0</v>
      </c>
      <c r="BJ305" s="88">
        <f t="shared" si="24"/>
        <v>0</v>
      </c>
      <c r="BQ305" s="69"/>
    </row>
    <row r="306" spans="7:69" x14ac:dyDescent="0.25">
      <c r="G306" s="82"/>
      <c r="H306" s="83"/>
      <c r="I306" s="83"/>
      <c r="BG306" s="86"/>
      <c r="BH306" s="87">
        <f t="shared" si="22"/>
        <v>0</v>
      </c>
      <c r="BI306" s="88">
        <f t="shared" si="23"/>
        <v>0</v>
      </c>
      <c r="BJ306" s="88">
        <f t="shared" si="24"/>
        <v>0</v>
      </c>
      <c r="BQ306" s="69"/>
    </row>
    <row r="307" spans="7:69" x14ac:dyDescent="0.25">
      <c r="G307" s="82"/>
      <c r="H307" s="83"/>
      <c r="I307" s="83"/>
      <c r="BG307" s="86"/>
      <c r="BH307" s="87">
        <f t="shared" si="22"/>
        <v>0</v>
      </c>
      <c r="BI307" s="88">
        <f t="shared" si="23"/>
        <v>0</v>
      </c>
      <c r="BJ307" s="88">
        <f t="shared" si="24"/>
        <v>0</v>
      </c>
      <c r="BQ307" s="69"/>
    </row>
    <row r="308" spans="7:69" x14ac:dyDescent="0.25">
      <c r="G308" s="82"/>
      <c r="H308" s="83"/>
      <c r="I308" s="83"/>
      <c r="BG308" s="86"/>
      <c r="BH308" s="87">
        <f t="shared" si="22"/>
        <v>0</v>
      </c>
      <c r="BI308" s="88">
        <f t="shared" si="23"/>
        <v>0</v>
      </c>
      <c r="BJ308" s="88">
        <f t="shared" si="24"/>
        <v>0</v>
      </c>
      <c r="BQ308" s="69"/>
    </row>
    <row r="309" spans="7:69" x14ac:dyDescent="0.25">
      <c r="G309" s="82"/>
      <c r="H309" s="83"/>
      <c r="I309" s="83"/>
      <c r="BG309" s="86"/>
      <c r="BH309" s="87">
        <f t="shared" si="22"/>
        <v>0</v>
      </c>
      <c r="BI309" s="88">
        <f t="shared" si="23"/>
        <v>0</v>
      </c>
      <c r="BJ309" s="88">
        <f t="shared" si="24"/>
        <v>0</v>
      </c>
      <c r="BQ309" s="69"/>
    </row>
    <row r="310" spans="7:69" x14ac:dyDescent="0.25">
      <c r="G310" s="82"/>
      <c r="H310" s="83"/>
      <c r="I310" s="83"/>
      <c r="BG310" s="86"/>
      <c r="BH310" s="87">
        <f t="shared" si="22"/>
        <v>0</v>
      </c>
      <c r="BI310" s="88">
        <f t="shared" si="23"/>
        <v>0</v>
      </c>
      <c r="BJ310" s="88">
        <f t="shared" si="24"/>
        <v>0</v>
      </c>
      <c r="BQ310" s="69"/>
    </row>
    <row r="311" spans="7:69" x14ac:dyDescent="0.25">
      <c r="G311" s="82"/>
      <c r="H311" s="83"/>
      <c r="I311" s="83"/>
      <c r="BG311" s="86"/>
      <c r="BH311" s="87">
        <f t="shared" si="22"/>
        <v>0</v>
      </c>
      <c r="BI311" s="88">
        <f t="shared" si="23"/>
        <v>0</v>
      </c>
      <c r="BJ311" s="88">
        <f t="shared" si="24"/>
        <v>0</v>
      </c>
      <c r="BQ311" s="69"/>
    </row>
    <row r="312" spans="7:69" x14ac:dyDescent="0.25">
      <c r="G312" s="82"/>
      <c r="H312" s="83"/>
      <c r="I312" s="83"/>
      <c r="BG312" s="86"/>
      <c r="BH312" s="87">
        <f t="shared" si="22"/>
        <v>0</v>
      </c>
      <c r="BI312" s="88">
        <f t="shared" si="23"/>
        <v>0</v>
      </c>
      <c r="BJ312" s="88">
        <f t="shared" si="24"/>
        <v>0</v>
      </c>
      <c r="BQ312" s="69"/>
    </row>
    <row r="313" spans="7:69" x14ac:dyDescent="0.25">
      <c r="G313" s="82"/>
      <c r="H313" s="83"/>
      <c r="I313" s="83"/>
      <c r="BG313" s="86"/>
      <c r="BH313" s="87">
        <f t="shared" si="22"/>
        <v>0</v>
      </c>
      <c r="BI313" s="88">
        <f t="shared" si="23"/>
        <v>0</v>
      </c>
      <c r="BJ313" s="88">
        <f t="shared" si="24"/>
        <v>0</v>
      </c>
      <c r="BQ313" s="69"/>
    </row>
    <row r="314" spans="7:69" x14ac:dyDescent="0.25">
      <c r="G314" s="82"/>
      <c r="H314" s="83"/>
      <c r="I314" s="83"/>
      <c r="BG314" s="86"/>
      <c r="BH314" s="87">
        <f t="shared" si="22"/>
        <v>0</v>
      </c>
      <c r="BI314" s="88">
        <f t="shared" si="23"/>
        <v>0</v>
      </c>
      <c r="BJ314" s="88">
        <f t="shared" si="24"/>
        <v>0</v>
      </c>
      <c r="BQ314" s="69"/>
    </row>
    <row r="315" spans="7:69" x14ac:dyDescent="0.25">
      <c r="G315" s="82"/>
      <c r="H315" s="83"/>
      <c r="I315" s="83"/>
      <c r="BG315" s="86"/>
      <c r="BH315" s="87">
        <f t="shared" si="22"/>
        <v>0</v>
      </c>
      <c r="BI315" s="88">
        <f t="shared" si="23"/>
        <v>0</v>
      </c>
      <c r="BJ315" s="88">
        <f t="shared" si="24"/>
        <v>0</v>
      </c>
      <c r="BQ315" s="69"/>
    </row>
    <row r="316" spans="7:69" x14ac:dyDescent="0.25">
      <c r="G316" s="82"/>
      <c r="H316" s="83"/>
      <c r="I316" s="83"/>
      <c r="BG316" s="86"/>
      <c r="BH316" s="87">
        <f t="shared" si="22"/>
        <v>0</v>
      </c>
      <c r="BI316" s="88">
        <f t="shared" si="23"/>
        <v>0</v>
      </c>
      <c r="BJ316" s="88">
        <f t="shared" si="24"/>
        <v>0</v>
      </c>
      <c r="BQ316" s="69"/>
    </row>
    <row r="317" spans="7:69" x14ac:dyDescent="0.25">
      <c r="G317" s="82"/>
      <c r="H317" s="83"/>
      <c r="I317" s="83"/>
      <c r="BG317" s="86"/>
      <c r="BH317" s="87">
        <f t="shared" si="22"/>
        <v>0</v>
      </c>
      <c r="BI317" s="88">
        <f t="shared" si="23"/>
        <v>0</v>
      </c>
      <c r="BJ317" s="88">
        <f t="shared" si="24"/>
        <v>0</v>
      </c>
      <c r="BQ317" s="69"/>
    </row>
    <row r="318" spans="7:69" x14ac:dyDescent="0.25">
      <c r="H318" s="83"/>
      <c r="I318" s="83"/>
      <c r="BG318" s="86"/>
      <c r="BH318" s="87">
        <f t="shared" si="22"/>
        <v>0</v>
      </c>
      <c r="BI318" s="88">
        <f t="shared" si="23"/>
        <v>0</v>
      </c>
      <c r="BJ318" s="88">
        <f t="shared" si="24"/>
        <v>0</v>
      </c>
      <c r="BQ318" s="69"/>
    </row>
    <row r="319" spans="7:69" x14ac:dyDescent="0.25">
      <c r="H319" s="83"/>
      <c r="I319" s="83"/>
      <c r="BG319" s="86"/>
      <c r="BH319" s="87">
        <f t="shared" si="22"/>
        <v>0</v>
      </c>
      <c r="BI319" s="88">
        <f t="shared" si="23"/>
        <v>0</v>
      </c>
      <c r="BJ319" s="88">
        <f t="shared" si="24"/>
        <v>0</v>
      </c>
      <c r="BQ319" s="69"/>
    </row>
    <row r="320" spans="7:69" x14ac:dyDescent="0.25">
      <c r="H320" s="83"/>
      <c r="I320" s="83"/>
      <c r="BG320" s="86"/>
      <c r="BH320" s="87">
        <f t="shared" si="22"/>
        <v>0</v>
      </c>
      <c r="BI320" s="88">
        <f t="shared" si="23"/>
        <v>0</v>
      </c>
      <c r="BJ320" s="88">
        <f t="shared" si="24"/>
        <v>0</v>
      </c>
      <c r="BQ320" s="69"/>
    </row>
    <row r="321" spans="8:69" x14ac:dyDescent="0.25">
      <c r="H321" s="83"/>
      <c r="I321" s="83"/>
      <c r="BG321" s="86"/>
      <c r="BH321" s="87">
        <f t="shared" si="22"/>
        <v>0</v>
      </c>
      <c r="BI321" s="88">
        <f t="shared" si="23"/>
        <v>0</v>
      </c>
      <c r="BJ321" s="88">
        <f t="shared" si="24"/>
        <v>0</v>
      </c>
      <c r="BQ321" s="69"/>
    </row>
    <row r="322" spans="8:69" x14ac:dyDescent="0.25">
      <c r="H322" s="83"/>
      <c r="I322" s="83"/>
      <c r="BG322" s="86"/>
      <c r="BH322" s="87">
        <f t="shared" si="22"/>
        <v>0</v>
      </c>
      <c r="BI322" s="88">
        <f t="shared" si="23"/>
        <v>0</v>
      </c>
      <c r="BJ322" s="88">
        <f t="shared" si="24"/>
        <v>0</v>
      </c>
      <c r="BQ322" s="69"/>
    </row>
    <row r="323" spans="8:69" x14ac:dyDescent="0.25">
      <c r="H323" s="83"/>
      <c r="I323" s="83"/>
      <c r="BG323" s="86"/>
      <c r="BH323" s="87">
        <f t="shared" si="22"/>
        <v>0</v>
      </c>
      <c r="BI323" s="88">
        <f t="shared" si="23"/>
        <v>0</v>
      </c>
      <c r="BJ323" s="88">
        <f t="shared" si="24"/>
        <v>0</v>
      </c>
      <c r="BQ323" s="69"/>
    </row>
    <row r="324" spans="8:69" x14ac:dyDescent="0.25">
      <c r="H324" s="83"/>
      <c r="I324" s="83"/>
      <c r="BG324" s="86"/>
      <c r="BH324" s="87">
        <f t="shared" si="22"/>
        <v>0</v>
      </c>
      <c r="BI324" s="88">
        <f t="shared" si="23"/>
        <v>0</v>
      </c>
      <c r="BJ324" s="88">
        <f t="shared" si="24"/>
        <v>0</v>
      </c>
      <c r="BQ324" s="69"/>
    </row>
    <row r="325" spans="8:69" x14ac:dyDescent="0.25">
      <c r="H325" s="83"/>
      <c r="I325" s="83"/>
      <c r="BG325" s="86"/>
      <c r="BH325" s="87">
        <f t="shared" si="22"/>
        <v>0</v>
      </c>
      <c r="BI325" s="88">
        <f t="shared" si="23"/>
        <v>0</v>
      </c>
      <c r="BJ325" s="88">
        <f t="shared" si="24"/>
        <v>0</v>
      </c>
      <c r="BQ325" s="69"/>
    </row>
    <row r="326" spans="8:69" x14ac:dyDescent="0.25">
      <c r="H326" s="83"/>
      <c r="I326" s="83"/>
      <c r="BG326" s="86"/>
      <c r="BH326" s="87">
        <f t="shared" si="22"/>
        <v>0</v>
      </c>
      <c r="BI326" s="88">
        <f t="shared" si="23"/>
        <v>0</v>
      </c>
      <c r="BJ326" s="88">
        <f t="shared" si="24"/>
        <v>0</v>
      </c>
      <c r="BQ326" s="69"/>
    </row>
    <row r="327" spans="8:69" x14ac:dyDescent="0.25">
      <c r="H327" s="83"/>
      <c r="I327" s="83"/>
      <c r="BG327" s="86"/>
      <c r="BH327" s="87">
        <f t="shared" si="22"/>
        <v>0</v>
      </c>
      <c r="BI327" s="88">
        <f t="shared" si="23"/>
        <v>0</v>
      </c>
      <c r="BJ327" s="88">
        <f t="shared" si="24"/>
        <v>0</v>
      </c>
      <c r="BQ327" s="69"/>
    </row>
    <row r="328" spans="8:69" x14ac:dyDescent="0.25">
      <c r="H328" s="83"/>
      <c r="I328" s="83"/>
      <c r="BG328" s="86"/>
      <c r="BH328" s="87">
        <f t="shared" si="22"/>
        <v>0</v>
      </c>
      <c r="BI328" s="88">
        <f t="shared" si="23"/>
        <v>0</v>
      </c>
      <c r="BJ328" s="88">
        <f t="shared" si="24"/>
        <v>0</v>
      </c>
      <c r="BQ328" s="69"/>
    </row>
    <row r="329" spans="8:69" x14ac:dyDescent="0.25">
      <c r="H329" s="83"/>
      <c r="I329" s="83"/>
      <c r="BG329" s="86"/>
      <c r="BH329" s="87">
        <f t="shared" si="22"/>
        <v>0</v>
      </c>
      <c r="BI329" s="88">
        <f t="shared" si="23"/>
        <v>0</v>
      </c>
      <c r="BJ329" s="88">
        <f t="shared" si="24"/>
        <v>0</v>
      </c>
      <c r="BQ329" s="69"/>
    </row>
    <row r="330" spans="8:69" x14ac:dyDescent="0.25">
      <c r="H330" s="83"/>
      <c r="I330" s="83"/>
      <c r="BG330" s="86"/>
      <c r="BH330" s="87">
        <f t="shared" si="22"/>
        <v>0</v>
      </c>
      <c r="BI330" s="88">
        <f t="shared" si="23"/>
        <v>0</v>
      </c>
      <c r="BJ330" s="88">
        <f t="shared" si="24"/>
        <v>0</v>
      </c>
      <c r="BQ330" s="69"/>
    </row>
    <row r="331" spans="8:69" x14ac:dyDescent="0.25">
      <c r="H331" s="83"/>
      <c r="I331" s="83"/>
      <c r="BG331" s="86"/>
      <c r="BH331" s="87">
        <f t="shared" si="22"/>
        <v>0</v>
      </c>
      <c r="BI331" s="88">
        <f t="shared" si="23"/>
        <v>0</v>
      </c>
      <c r="BJ331" s="88">
        <f t="shared" si="24"/>
        <v>0</v>
      </c>
      <c r="BQ331" s="69"/>
    </row>
    <row r="332" spans="8:69" x14ac:dyDescent="0.25">
      <c r="H332" s="83"/>
      <c r="I332" s="83"/>
      <c r="BG332" s="86"/>
      <c r="BH332" s="87">
        <f t="shared" si="22"/>
        <v>0</v>
      </c>
      <c r="BI332" s="88">
        <f t="shared" si="23"/>
        <v>0</v>
      </c>
      <c r="BJ332" s="88">
        <f t="shared" si="24"/>
        <v>0</v>
      </c>
      <c r="BQ332" s="69"/>
    </row>
    <row r="333" spans="8:69" x14ac:dyDescent="0.25">
      <c r="H333" s="83"/>
      <c r="I333" s="83"/>
      <c r="BG333" s="86"/>
      <c r="BH333" s="87">
        <f t="shared" si="22"/>
        <v>0</v>
      </c>
      <c r="BI333" s="88">
        <f t="shared" si="23"/>
        <v>0</v>
      </c>
      <c r="BJ333" s="88">
        <f t="shared" si="24"/>
        <v>0</v>
      </c>
      <c r="BQ333" s="69"/>
    </row>
    <row r="334" spans="8:69" x14ac:dyDescent="0.25">
      <c r="H334" s="83"/>
      <c r="I334" s="83"/>
      <c r="BG334" s="86"/>
      <c r="BH334" s="87">
        <f t="shared" ref="BH334:BH397" si="25">$I334-$H334</f>
        <v>0</v>
      </c>
      <c r="BI334" s="88">
        <f t="shared" ref="BI334:BI397" si="26">IF($N334="W", IF(ROW()=1, 1, BI333+1), 0)</f>
        <v>0</v>
      </c>
      <c r="BJ334" s="88">
        <f t="shared" ref="BJ334:BJ397" si="27">IF($N334="l", IF(ROW()=1, 1, BJ333+1), 0)</f>
        <v>0</v>
      </c>
      <c r="BQ334" s="69"/>
    </row>
    <row r="335" spans="8:69" x14ac:dyDescent="0.25">
      <c r="H335" s="83"/>
      <c r="I335" s="83"/>
      <c r="BG335" s="86"/>
      <c r="BH335" s="87">
        <f t="shared" si="25"/>
        <v>0</v>
      </c>
      <c r="BI335" s="88">
        <f t="shared" si="26"/>
        <v>0</v>
      </c>
      <c r="BJ335" s="88">
        <f t="shared" si="27"/>
        <v>0</v>
      </c>
      <c r="BQ335" s="69"/>
    </row>
    <row r="336" spans="8:69" x14ac:dyDescent="0.25">
      <c r="H336" s="83"/>
      <c r="I336" s="83"/>
      <c r="BG336" s="86"/>
      <c r="BH336" s="87">
        <f t="shared" si="25"/>
        <v>0</v>
      </c>
      <c r="BI336" s="88">
        <f t="shared" si="26"/>
        <v>0</v>
      </c>
      <c r="BJ336" s="88">
        <f t="shared" si="27"/>
        <v>0</v>
      </c>
      <c r="BQ336" s="69"/>
    </row>
    <row r="337" spans="8:69" x14ac:dyDescent="0.25">
      <c r="H337" s="83"/>
      <c r="I337" s="83"/>
      <c r="BG337" s="86"/>
      <c r="BH337" s="87">
        <f t="shared" si="25"/>
        <v>0</v>
      </c>
      <c r="BI337" s="88">
        <f t="shared" si="26"/>
        <v>0</v>
      </c>
      <c r="BJ337" s="88">
        <f t="shared" si="27"/>
        <v>0</v>
      </c>
      <c r="BQ337" s="69"/>
    </row>
    <row r="338" spans="8:69" x14ac:dyDescent="0.25">
      <c r="H338" s="83"/>
      <c r="I338" s="83"/>
      <c r="BG338" s="86"/>
      <c r="BH338" s="87">
        <f t="shared" si="25"/>
        <v>0</v>
      </c>
      <c r="BI338" s="88">
        <f t="shared" si="26"/>
        <v>0</v>
      </c>
      <c r="BJ338" s="88">
        <f t="shared" si="27"/>
        <v>0</v>
      </c>
      <c r="BQ338" s="69"/>
    </row>
    <row r="339" spans="8:69" x14ac:dyDescent="0.25">
      <c r="H339" s="83"/>
      <c r="I339" s="83"/>
      <c r="BG339" s="86"/>
      <c r="BH339" s="87">
        <f t="shared" si="25"/>
        <v>0</v>
      </c>
      <c r="BI339" s="88">
        <f t="shared" si="26"/>
        <v>0</v>
      </c>
      <c r="BJ339" s="88">
        <f t="shared" si="27"/>
        <v>0</v>
      </c>
      <c r="BQ339" s="69"/>
    </row>
    <row r="340" spans="8:69" x14ac:dyDescent="0.25">
      <c r="H340" s="83"/>
      <c r="I340" s="83"/>
      <c r="BG340" s="86"/>
      <c r="BH340" s="87">
        <f t="shared" si="25"/>
        <v>0</v>
      </c>
      <c r="BI340" s="88">
        <f t="shared" si="26"/>
        <v>0</v>
      </c>
      <c r="BJ340" s="88">
        <f t="shared" si="27"/>
        <v>0</v>
      </c>
      <c r="BQ340" s="69"/>
    </row>
    <row r="341" spans="8:69" x14ac:dyDescent="0.25">
      <c r="H341" s="83"/>
      <c r="I341" s="83"/>
      <c r="BG341" s="86"/>
      <c r="BH341" s="87">
        <f t="shared" si="25"/>
        <v>0</v>
      </c>
      <c r="BI341" s="88">
        <f t="shared" si="26"/>
        <v>0</v>
      </c>
      <c r="BJ341" s="88">
        <f t="shared" si="27"/>
        <v>0</v>
      </c>
      <c r="BQ341" s="69"/>
    </row>
    <row r="342" spans="8:69" x14ac:dyDescent="0.25">
      <c r="H342" s="83"/>
      <c r="I342" s="83"/>
      <c r="BG342" s="86"/>
      <c r="BH342" s="87">
        <f t="shared" si="25"/>
        <v>0</v>
      </c>
      <c r="BI342" s="88">
        <f t="shared" si="26"/>
        <v>0</v>
      </c>
      <c r="BJ342" s="88">
        <f t="shared" si="27"/>
        <v>0</v>
      </c>
      <c r="BQ342" s="69"/>
    </row>
    <row r="343" spans="8:69" x14ac:dyDescent="0.25">
      <c r="H343" s="83"/>
      <c r="I343" s="83"/>
      <c r="BG343" s="86"/>
      <c r="BH343" s="87">
        <f t="shared" si="25"/>
        <v>0</v>
      </c>
      <c r="BI343" s="88">
        <f t="shared" si="26"/>
        <v>0</v>
      </c>
      <c r="BJ343" s="88">
        <f t="shared" si="27"/>
        <v>0</v>
      </c>
      <c r="BQ343" s="69"/>
    </row>
    <row r="344" spans="8:69" x14ac:dyDescent="0.25">
      <c r="H344" s="83"/>
      <c r="I344" s="83"/>
      <c r="BG344" s="86"/>
      <c r="BH344" s="87">
        <f t="shared" si="25"/>
        <v>0</v>
      </c>
      <c r="BI344" s="88">
        <f t="shared" si="26"/>
        <v>0</v>
      </c>
      <c r="BJ344" s="88">
        <f t="shared" si="27"/>
        <v>0</v>
      </c>
      <c r="BQ344" s="69"/>
    </row>
    <row r="345" spans="8:69" x14ac:dyDescent="0.25">
      <c r="H345" s="83"/>
      <c r="I345" s="83"/>
      <c r="BG345" s="86"/>
      <c r="BH345" s="87">
        <f t="shared" si="25"/>
        <v>0</v>
      </c>
      <c r="BI345" s="88">
        <f t="shared" si="26"/>
        <v>0</v>
      </c>
      <c r="BJ345" s="88">
        <f t="shared" si="27"/>
        <v>0</v>
      </c>
      <c r="BQ345" s="69"/>
    </row>
    <row r="346" spans="8:69" x14ac:dyDescent="0.25">
      <c r="H346" s="83"/>
      <c r="I346" s="83"/>
      <c r="BG346" s="86"/>
      <c r="BH346" s="87">
        <f t="shared" si="25"/>
        <v>0</v>
      </c>
      <c r="BI346" s="88">
        <f t="shared" si="26"/>
        <v>0</v>
      </c>
      <c r="BJ346" s="88">
        <f t="shared" si="27"/>
        <v>0</v>
      </c>
      <c r="BQ346" s="69"/>
    </row>
    <row r="347" spans="8:69" x14ac:dyDescent="0.25">
      <c r="H347" s="83"/>
      <c r="I347" s="83"/>
      <c r="BG347" s="86"/>
      <c r="BH347" s="87">
        <f t="shared" si="25"/>
        <v>0</v>
      </c>
      <c r="BI347" s="88">
        <f t="shared" si="26"/>
        <v>0</v>
      </c>
      <c r="BJ347" s="88">
        <f t="shared" si="27"/>
        <v>0</v>
      </c>
      <c r="BQ347" s="69"/>
    </row>
    <row r="348" spans="8:69" x14ac:dyDescent="0.25">
      <c r="H348" s="83"/>
      <c r="I348" s="83"/>
      <c r="BG348" s="86"/>
      <c r="BH348" s="87">
        <f t="shared" si="25"/>
        <v>0</v>
      </c>
      <c r="BI348" s="88">
        <f t="shared" si="26"/>
        <v>0</v>
      </c>
      <c r="BJ348" s="88">
        <f t="shared" si="27"/>
        <v>0</v>
      </c>
      <c r="BQ348" s="69"/>
    </row>
    <row r="349" spans="8:69" x14ac:dyDescent="0.25">
      <c r="H349" s="83"/>
      <c r="I349" s="83"/>
      <c r="BG349" s="86"/>
      <c r="BH349" s="87">
        <f t="shared" si="25"/>
        <v>0</v>
      </c>
      <c r="BI349" s="88">
        <f t="shared" si="26"/>
        <v>0</v>
      </c>
      <c r="BJ349" s="88">
        <f t="shared" si="27"/>
        <v>0</v>
      </c>
      <c r="BQ349" s="69"/>
    </row>
    <row r="350" spans="8:69" x14ac:dyDescent="0.25">
      <c r="H350" s="83"/>
      <c r="I350" s="83"/>
      <c r="BG350" s="86"/>
      <c r="BH350" s="87">
        <f t="shared" si="25"/>
        <v>0</v>
      </c>
      <c r="BI350" s="88">
        <f t="shared" si="26"/>
        <v>0</v>
      </c>
      <c r="BJ350" s="88">
        <f t="shared" si="27"/>
        <v>0</v>
      </c>
      <c r="BQ350" s="69"/>
    </row>
    <row r="351" spans="8:69" x14ac:dyDescent="0.25">
      <c r="H351" s="83"/>
      <c r="I351" s="83"/>
      <c r="BG351" s="86"/>
      <c r="BH351" s="87">
        <f t="shared" si="25"/>
        <v>0</v>
      </c>
      <c r="BI351" s="88">
        <f t="shared" si="26"/>
        <v>0</v>
      </c>
      <c r="BJ351" s="88">
        <f t="shared" si="27"/>
        <v>0</v>
      </c>
      <c r="BQ351" s="69"/>
    </row>
    <row r="352" spans="8:69" x14ac:dyDescent="0.25">
      <c r="H352" s="83"/>
      <c r="I352" s="83"/>
      <c r="BG352" s="86"/>
      <c r="BH352" s="87">
        <f t="shared" si="25"/>
        <v>0</v>
      </c>
      <c r="BI352" s="88">
        <f t="shared" si="26"/>
        <v>0</v>
      </c>
      <c r="BJ352" s="88">
        <f t="shared" si="27"/>
        <v>0</v>
      </c>
      <c r="BQ352" s="69"/>
    </row>
    <row r="353" spans="8:69" x14ac:dyDescent="0.25">
      <c r="H353" s="83"/>
      <c r="I353" s="83"/>
      <c r="BG353" s="86"/>
      <c r="BH353" s="87">
        <f t="shared" si="25"/>
        <v>0</v>
      </c>
      <c r="BI353" s="88">
        <f t="shared" si="26"/>
        <v>0</v>
      </c>
      <c r="BJ353" s="88">
        <f t="shared" si="27"/>
        <v>0</v>
      </c>
      <c r="BQ353" s="69"/>
    </row>
    <row r="354" spans="8:69" x14ac:dyDescent="0.25">
      <c r="H354" s="83"/>
      <c r="I354" s="83"/>
      <c r="BG354" s="86"/>
      <c r="BH354" s="87">
        <f t="shared" si="25"/>
        <v>0</v>
      </c>
      <c r="BI354" s="88">
        <f t="shared" si="26"/>
        <v>0</v>
      </c>
      <c r="BJ354" s="88">
        <f t="shared" si="27"/>
        <v>0</v>
      </c>
      <c r="BQ354" s="69"/>
    </row>
    <row r="355" spans="8:69" x14ac:dyDescent="0.25">
      <c r="H355" s="83"/>
      <c r="I355" s="83"/>
      <c r="BG355" s="86"/>
      <c r="BH355" s="87">
        <f t="shared" si="25"/>
        <v>0</v>
      </c>
      <c r="BI355" s="88">
        <f t="shared" si="26"/>
        <v>0</v>
      </c>
      <c r="BJ355" s="88">
        <f t="shared" si="27"/>
        <v>0</v>
      </c>
      <c r="BQ355" s="69"/>
    </row>
    <row r="356" spans="8:69" x14ac:dyDescent="0.25">
      <c r="H356" s="83"/>
      <c r="I356" s="83"/>
      <c r="BG356" s="86"/>
      <c r="BH356" s="87">
        <f t="shared" si="25"/>
        <v>0</v>
      </c>
      <c r="BI356" s="88">
        <f t="shared" si="26"/>
        <v>0</v>
      </c>
      <c r="BJ356" s="88">
        <f t="shared" si="27"/>
        <v>0</v>
      </c>
      <c r="BQ356" s="69"/>
    </row>
    <row r="357" spans="8:69" x14ac:dyDescent="0.25">
      <c r="H357" s="83"/>
      <c r="I357" s="83"/>
      <c r="BG357" s="86"/>
      <c r="BH357" s="87">
        <f t="shared" si="25"/>
        <v>0</v>
      </c>
      <c r="BI357" s="88">
        <f t="shared" si="26"/>
        <v>0</v>
      </c>
      <c r="BJ357" s="88">
        <f t="shared" si="27"/>
        <v>0</v>
      </c>
      <c r="BQ357" s="69"/>
    </row>
    <row r="358" spans="8:69" x14ac:dyDescent="0.25">
      <c r="H358" s="83"/>
      <c r="I358" s="83"/>
      <c r="BG358" s="86"/>
      <c r="BH358" s="87">
        <f t="shared" si="25"/>
        <v>0</v>
      </c>
      <c r="BI358" s="88">
        <f t="shared" si="26"/>
        <v>0</v>
      </c>
      <c r="BJ358" s="88">
        <f t="shared" si="27"/>
        <v>0</v>
      </c>
      <c r="BQ358" s="69"/>
    </row>
    <row r="359" spans="8:69" x14ac:dyDescent="0.25">
      <c r="H359" s="83"/>
      <c r="I359" s="83"/>
      <c r="BG359" s="86"/>
      <c r="BH359" s="87">
        <f t="shared" si="25"/>
        <v>0</v>
      </c>
      <c r="BI359" s="88">
        <f t="shared" si="26"/>
        <v>0</v>
      </c>
      <c r="BJ359" s="88">
        <f t="shared" si="27"/>
        <v>0</v>
      </c>
      <c r="BQ359" s="69"/>
    </row>
    <row r="360" spans="8:69" x14ac:dyDescent="0.25">
      <c r="H360" s="83"/>
      <c r="I360" s="83"/>
      <c r="BG360" s="86"/>
      <c r="BH360" s="87">
        <f t="shared" si="25"/>
        <v>0</v>
      </c>
      <c r="BI360" s="88">
        <f t="shared" si="26"/>
        <v>0</v>
      </c>
      <c r="BJ360" s="88">
        <f t="shared" si="27"/>
        <v>0</v>
      </c>
      <c r="BQ360" s="69"/>
    </row>
    <row r="361" spans="8:69" x14ac:dyDescent="0.25">
      <c r="H361" s="83"/>
      <c r="I361" s="83"/>
      <c r="BG361" s="86"/>
      <c r="BH361" s="87">
        <f t="shared" si="25"/>
        <v>0</v>
      </c>
      <c r="BI361" s="88">
        <f t="shared" si="26"/>
        <v>0</v>
      </c>
      <c r="BJ361" s="88">
        <f t="shared" si="27"/>
        <v>0</v>
      </c>
      <c r="BQ361" s="69"/>
    </row>
    <row r="362" spans="8:69" x14ac:dyDescent="0.25">
      <c r="H362" s="83"/>
      <c r="I362" s="83"/>
      <c r="BG362" s="86"/>
      <c r="BH362" s="87">
        <f t="shared" si="25"/>
        <v>0</v>
      </c>
      <c r="BI362" s="88">
        <f t="shared" si="26"/>
        <v>0</v>
      </c>
      <c r="BJ362" s="88">
        <f t="shared" si="27"/>
        <v>0</v>
      </c>
      <c r="BQ362" s="69"/>
    </row>
    <row r="363" spans="8:69" x14ac:dyDescent="0.25">
      <c r="H363" s="83"/>
      <c r="I363" s="83"/>
      <c r="BG363" s="86"/>
      <c r="BH363" s="87">
        <f t="shared" si="25"/>
        <v>0</v>
      </c>
      <c r="BI363" s="88">
        <f t="shared" si="26"/>
        <v>0</v>
      </c>
      <c r="BJ363" s="88">
        <f t="shared" si="27"/>
        <v>0</v>
      </c>
      <c r="BQ363" s="69"/>
    </row>
    <row r="364" spans="8:69" x14ac:dyDescent="0.25">
      <c r="H364" s="83"/>
      <c r="I364" s="83"/>
      <c r="BG364" s="86"/>
      <c r="BH364" s="87">
        <f t="shared" si="25"/>
        <v>0</v>
      </c>
      <c r="BI364" s="88">
        <f t="shared" si="26"/>
        <v>0</v>
      </c>
      <c r="BJ364" s="88">
        <f t="shared" si="27"/>
        <v>0</v>
      </c>
      <c r="BQ364" s="69"/>
    </row>
    <row r="365" spans="8:69" x14ac:dyDescent="0.25">
      <c r="H365" s="83"/>
      <c r="I365" s="83"/>
      <c r="BG365" s="86"/>
      <c r="BH365" s="87">
        <f t="shared" si="25"/>
        <v>0</v>
      </c>
      <c r="BI365" s="88">
        <f t="shared" si="26"/>
        <v>0</v>
      </c>
      <c r="BJ365" s="88">
        <f t="shared" si="27"/>
        <v>0</v>
      </c>
      <c r="BQ365" s="69"/>
    </row>
    <row r="366" spans="8:69" x14ac:dyDescent="0.25">
      <c r="H366" s="83"/>
      <c r="I366" s="83"/>
      <c r="BG366" s="86"/>
      <c r="BH366" s="87">
        <f t="shared" si="25"/>
        <v>0</v>
      </c>
      <c r="BI366" s="88">
        <f t="shared" si="26"/>
        <v>0</v>
      </c>
      <c r="BJ366" s="88">
        <f t="shared" si="27"/>
        <v>0</v>
      </c>
      <c r="BQ366" s="69"/>
    </row>
    <row r="367" spans="8:69" x14ac:dyDescent="0.25">
      <c r="H367" s="83"/>
      <c r="I367" s="83"/>
      <c r="BG367" s="86"/>
      <c r="BH367" s="87">
        <f t="shared" si="25"/>
        <v>0</v>
      </c>
      <c r="BI367" s="88">
        <f t="shared" si="26"/>
        <v>0</v>
      </c>
      <c r="BJ367" s="88">
        <f t="shared" si="27"/>
        <v>0</v>
      </c>
      <c r="BQ367" s="69"/>
    </row>
    <row r="368" spans="8:69" x14ac:dyDescent="0.25">
      <c r="H368" s="83"/>
      <c r="I368" s="83"/>
      <c r="BG368" s="86"/>
      <c r="BH368" s="87">
        <f t="shared" si="25"/>
        <v>0</v>
      </c>
      <c r="BI368" s="88">
        <f t="shared" si="26"/>
        <v>0</v>
      </c>
      <c r="BJ368" s="88">
        <f t="shared" si="27"/>
        <v>0</v>
      </c>
      <c r="BQ368" s="69"/>
    </row>
    <row r="369" spans="8:69" x14ac:dyDescent="0.25">
      <c r="H369" s="83"/>
      <c r="I369" s="83"/>
      <c r="BG369" s="86"/>
      <c r="BH369" s="87">
        <f t="shared" si="25"/>
        <v>0</v>
      </c>
      <c r="BI369" s="88">
        <f t="shared" si="26"/>
        <v>0</v>
      </c>
      <c r="BJ369" s="88">
        <f t="shared" si="27"/>
        <v>0</v>
      </c>
      <c r="BQ369" s="69"/>
    </row>
    <row r="370" spans="8:69" x14ac:dyDescent="0.25">
      <c r="H370" s="83"/>
      <c r="I370" s="83"/>
      <c r="BG370" s="86"/>
      <c r="BH370" s="87">
        <f t="shared" si="25"/>
        <v>0</v>
      </c>
      <c r="BI370" s="88">
        <f t="shared" si="26"/>
        <v>0</v>
      </c>
      <c r="BJ370" s="88">
        <f t="shared" si="27"/>
        <v>0</v>
      </c>
      <c r="BQ370" s="69"/>
    </row>
    <row r="371" spans="8:69" x14ac:dyDescent="0.25">
      <c r="H371" s="83"/>
      <c r="I371" s="83"/>
      <c r="BG371" s="86"/>
      <c r="BH371" s="87">
        <f t="shared" si="25"/>
        <v>0</v>
      </c>
      <c r="BI371" s="88">
        <f t="shared" si="26"/>
        <v>0</v>
      </c>
      <c r="BJ371" s="88">
        <f t="shared" si="27"/>
        <v>0</v>
      </c>
      <c r="BQ371" s="69"/>
    </row>
    <row r="372" spans="8:69" x14ac:dyDescent="0.25">
      <c r="H372" s="83"/>
      <c r="I372" s="83"/>
      <c r="BG372" s="86"/>
      <c r="BH372" s="87">
        <f t="shared" si="25"/>
        <v>0</v>
      </c>
      <c r="BI372" s="88">
        <f t="shared" si="26"/>
        <v>0</v>
      </c>
      <c r="BJ372" s="88">
        <f t="shared" si="27"/>
        <v>0</v>
      </c>
      <c r="BQ372" s="69"/>
    </row>
    <row r="373" spans="8:69" x14ac:dyDescent="0.25">
      <c r="H373" s="83"/>
      <c r="I373" s="83"/>
      <c r="BG373" s="86"/>
      <c r="BH373" s="87">
        <f t="shared" si="25"/>
        <v>0</v>
      </c>
      <c r="BI373" s="88">
        <f t="shared" si="26"/>
        <v>0</v>
      </c>
      <c r="BJ373" s="88">
        <f t="shared" si="27"/>
        <v>0</v>
      </c>
      <c r="BQ373" s="69"/>
    </row>
    <row r="374" spans="8:69" x14ac:dyDescent="0.25">
      <c r="H374" s="83"/>
      <c r="I374" s="83"/>
      <c r="BG374" s="86"/>
      <c r="BH374" s="87">
        <f t="shared" si="25"/>
        <v>0</v>
      </c>
      <c r="BI374" s="88">
        <f t="shared" si="26"/>
        <v>0</v>
      </c>
      <c r="BJ374" s="88">
        <f t="shared" si="27"/>
        <v>0</v>
      </c>
      <c r="BQ374" s="69"/>
    </row>
    <row r="375" spans="8:69" x14ac:dyDescent="0.25">
      <c r="H375" s="83"/>
      <c r="I375" s="83"/>
      <c r="BG375" s="86"/>
      <c r="BH375" s="87">
        <f t="shared" si="25"/>
        <v>0</v>
      </c>
      <c r="BI375" s="88">
        <f t="shared" si="26"/>
        <v>0</v>
      </c>
      <c r="BJ375" s="88">
        <f t="shared" si="27"/>
        <v>0</v>
      </c>
      <c r="BQ375" s="69"/>
    </row>
    <row r="376" spans="8:69" x14ac:dyDescent="0.25">
      <c r="H376" s="83"/>
      <c r="I376" s="83"/>
      <c r="BG376" s="86"/>
      <c r="BH376" s="87">
        <f t="shared" si="25"/>
        <v>0</v>
      </c>
      <c r="BI376" s="88">
        <f t="shared" si="26"/>
        <v>0</v>
      </c>
      <c r="BJ376" s="88">
        <f t="shared" si="27"/>
        <v>0</v>
      </c>
      <c r="BQ376" s="69"/>
    </row>
    <row r="377" spans="8:69" x14ac:dyDescent="0.25">
      <c r="H377" s="83"/>
      <c r="I377" s="83"/>
      <c r="BG377" s="86"/>
      <c r="BH377" s="87">
        <f t="shared" si="25"/>
        <v>0</v>
      </c>
      <c r="BI377" s="88">
        <f t="shared" si="26"/>
        <v>0</v>
      </c>
      <c r="BJ377" s="88">
        <f t="shared" si="27"/>
        <v>0</v>
      </c>
      <c r="BQ377" s="69"/>
    </row>
    <row r="378" spans="8:69" x14ac:dyDescent="0.25">
      <c r="H378" s="83"/>
      <c r="I378" s="83"/>
      <c r="BG378" s="86"/>
      <c r="BH378" s="87">
        <f t="shared" si="25"/>
        <v>0</v>
      </c>
      <c r="BI378" s="88">
        <f t="shared" si="26"/>
        <v>0</v>
      </c>
      <c r="BJ378" s="88">
        <f t="shared" si="27"/>
        <v>0</v>
      </c>
      <c r="BQ378" s="69"/>
    </row>
    <row r="379" spans="8:69" x14ac:dyDescent="0.25">
      <c r="H379" s="83"/>
      <c r="I379" s="83"/>
      <c r="BG379" s="86"/>
      <c r="BH379" s="87">
        <f t="shared" si="25"/>
        <v>0</v>
      </c>
      <c r="BI379" s="88">
        <f t="shared" si="26"/>
        <v>0</v>
      </c>
      <c r="BJ379" s="88">
        <f t="shared" si="27"/>
        <v>0</v>
      </c>
      <c r="BQ379" s="69"/>
    </row>
    <row r="380" spans="8:69" x14ac:dyDescent="0.25">
      <c r="H380" s="83"/>
      <c r="I380" s="83"/>
      <c r="BG380" s="86"/>
      <c r="BH380" s="87">
        <f t="shared" si="25"/>
        <v>0</v>
      </c>
      <c r="BI380" s="88">
        <f t="shared" si="26"/>
        <v>0</v>
      </c>
      <c r="BJ380" s="88">
        <f t="shared" si="27"/>
        <v>0</v>
      </c>
      <c r="BQ380" s="69"/>
    </row>
    <row r="381" spans="8:69" x14ac:dyDescent="0.25">
      <c r="H381" s="83"/>
      <c r="I381" s="83"/>
      <c r="BG381" s="86"/>
      <c r="BH381" s="87">
        <f t="shared" si="25"/>
        <v>0</v>
      </c>
      <c r="BI381" s="88">
        <f t="shared" si="26"/>
        <v>0</v>
      </c>
      <c r="BJ381" s="88">
        <f t="shared" si="27"/>
        <v>0</v>
      </c>
      <c r="BQ381" s="69"/>
    </row>
    <row r="382" spans="8:69" x14ac:dyDescent="0.25">
      <c r="H382" s="83"/>
      <c r="I382" s="83"/>
      <c r="BG382" s="86"/>
      <c r="BH382" s="87">
        <f t="shared" si="25"/>
        <v>0</v>
      </c>
      <c r="BI382" s="88">
        <f t="shared" si="26"/>
        <v>0</v>
      </c>
      <c r="BJ382" s="88">
        <f t="shared" si="27"/>
        <v>0</v>
      </c>
      <c r="BQ382" s="69"/>
    </row>
    <row r="383" spans="8:69" x14ac:dyDescent="0.25">
      <c r="H383" s="83"/>
      <c r="I383" s="83"/>
      <c r="BG383" s="86"/>
      <c r="BH383" s="87">
        <f t="shared" si="25"/>
        <v>0</v>
      </c>
      <c r="BI383" s="88">
        <f t="shared" si="26"/>
        <v>0</v>
      </c>
      <c r="BJ383" s="88">
        <f t="shared" si="27"/>
        <v>0</v>
      </c>
      <c r="BQ383" s="69"/>
    </row>
    <row r="384" spans="8:69" x14ac:dyDescent="0.25">
      <c r="H384" s="83"/>
      <c r="I384" s="83"/>
      <c r="BG384" s="86"/>
      <c r="BH384" s="87">
        <f t="shared" si="25"/>
        <v>0</v>
      </c>
      <c r="BI384" s="88">
        <f t="shared" si="26"/>
        <v>0</v>
      </c>
      <c r="BJ384" s="88">
        <f t="shared" si="27"/>
        <v>0</v>
      </c>
      <c r="BQ384" s="69"/>
    </row>
    <row r="385" spans="8:69" x14ac:dyDescent="0.25">
      <c r="H385" s="83"/>
      <c r="I385" s="83"/>
      <c r="BG385" s="86"/>
      <c r="BH385" s="87">
        <f t="shared" si="25"/>
        <v>0</v>
      </c>
      <c r="BI385" s="88">
        <f t="shared" si="26"/>
        <v>0</v>
      </c>
      <c r="BJ385" s="88">
        <f t="shared" si="27"/>
        <v>0</v>
      </c>
      <c r="BQ385" s="69"/>
    </row>
    <row r="386" spans="8:69" x14ac:dyDescent="0.25">
      <c r="H386" s="83"/>
      <c r="I386" s="83"/>
      <c r="BG386" s="86"/>
      <c r="BH386" s="87">
        <f t="shared" si="25"/>
        <v>0</v>
      </c>
      <c r="BI386" s="88">
        <f t="shared" si="26"/>
        <v>0</v>
      </c>
      <c r="BJ386" s="88">
        <f t="shared" si="27"/>
        <v>0</v>
      </c>
      <c r="BQ386" s="69"/>
    </row>
    <row r="387" spans="8:69" x14ac:dyDescent="0.25">
      <c r="H387" s="83"/>
      <c r="I387" s="83"/>
      <c r="BG387" s="86"/>
      <c r="BH387" s="87">
        <f t="shared" si="25"/>
        <v>0</v>
      </c>
      <c r="BI387" s="88">
        <f t="shared" si="26"/>
        <v>0</v>
      </c>
      <c r="BJ387" s="88">
        <f t="shared" si="27"/>
        <v>0</v>
      </c>
      <c r="BQ387" s="69"/>
    </row>
    <row r="388" spans="8:69" x14ac:dyDescent="0.25">
      <c r="H388" s="83"/>
      <c r="I388" s="83"/>
      <c r="BG388" s="86"/>
      <c r="BH388" s="87">
        <f t="shared" si="25"/>
        <v>0</v>
      </c>
      <c r="BI388" s="88">
        <f t="shared" si="26"/>
        <v>0</v>
      </c>
      <c r="BJ388" s="88">
        <f t="shared" si="27"/>
        <v>0</v>
      </c>
      <c r="BQ388" s="69"/>
    </row>
    <row r="389" spans="8:69" x14ac:dyDescent="0.25">
      <c r="H389" s="83"/>
      <c r="I389" s="83"/>
      <c r="BG389" s="86"/>
      <c r="BH389" s="87">
        <f t="shared" si="25"/>
        <v>0</v>
      </c>
      <c r="BI389" s="88">
        <f t="shared" si="26"/>
        <v>0</v>
      </c>
      <c r="BJ389" s="88">
        <f t="shared" si="27"/>
        <v>0</v>
      </c>
      <c r="BQ389" s="69"/>
    </row>
    <row r="390" spans="8:69" x14ac:dyDescent="0.25">
      <c r="H390" s="83"/>
      <c r="I390" s="83"/>
      <c r="BG390" s="86"/>
      <c r="BH390" s="87">
        <f t="shared" si="25"/>
        <v>0</v>
      </c>
      <c r="BI390" s="88">
        <f t="shared" si="26"/>
        <v>0</v>
      </c>
      <c r="BJ390" s="88">
        <f t="shared" si="27"/>
        <v>0</v>
      </c>
      <c r="BQ390" s="69"/>
    </row>
    <row r="391" spans="8:69" x14ac:dyDescent="0.25">
      <c r="H391" s="83"/>
      <c r="I391" s="83"/>
      <c r="BG391" s="86"/>
      <c r="BH391" s="87">
        <f t="shared" si="25"/>
        <v>0</v>
      </c>
      <c r="BI391" s="88">
        <f t="shared" si="26"/>
        <v>0</v>
      </c>
      <c r="BJ391" s="88">
        <f t="shared" si="27"/>
        <v>0</v>
      </c>
      <c r="BQ391" s="69"/>
    </row>
    <row r="392" spans="8:69" x14ac:dyDescent="0.25">
      <c r="H392" s="83"/>
      <c r="I392" s="83"/>
      <c r="BG392" s="86"/>
      <c r="BH392" s="87">
        <f t="shared" si="25"/>
        <v>0</v>
      </c>
      <c r="BI392" s="88">
        <f t="shared" si="26"/>
        <v>0</v>
      </c>
      <c r="BJ392" s="88">
        <f t="shared" si="27"/>
        <v>0</v>
      </c>
      <c r="BQ392" s="69"/>
    </row>
    <row r="393" spans="8:69" x14ac:dyDescent="0.25">
      <c r="H393" s="83"/>
      <c r="I393" s="83"/>
      <c r="BG393" s="86"/>
      <c r="BH393" s="87">
        <f t="shared" si="25"/>
        <v>0</v>
      </c>
      <c r="BI393" s="88">
        <f t="shared" si="26"/>
        <v>0</v>
      </c>
      <c r="BJ393" s="88">
        <f t="shared" si="27"/>
        <v>0</v>
      </c>
      <c r="BQ393" s="69"/>
    </row>
    <row r="394" spans="8:69" x14ac:dyDescent="0.25">
      <c r="H394" s="83"/>
      <c r="I394" s="83"/>
      <c r="BG394" s="86"/>
      <c r="BH394" s="87">
        <f t="shared" si="25"/>
        <v>0</v>
      </c>
      <c r="BI394" s="88">
        <f t="shared" si="26"/>
        <v>0</v>
      </c>
      <c r="BJ394" s="88">
        <f t="shared" si="27"/>
        <v>0</v>
      </c>
      <c r="BQ394" s="69"/>
    </row>
    <row r="395" spans="8:69" x14ac:dyDescent="0.25">
      <c r="H395" s="83"/>
      <c r="I395" s="83"/>
      <c r="BG395" s="86"/>
      <c r="BH395" s="87">
        <f t="shared" si="25"/>
        <v>0</v>
      </c>
      <c r="BI395" s="88">
        <f t="shared" si="26"/>
        <v>0</v>
      </c>
      <c r="BJ395" s="88">
        <f t="shared" si="27"/>
        <v>0</v>
      </c>
      <c r="BQ395" s="69"/>
    </row>
    <row r="396" spans="8:69" x14ac:dyDescent="0.25">
      <c r="H396" s="83"/>
      <c r="I396" s="83"/>
      <c r="BG396" s="86"/>
      <c r="BH396" s="87">
        <f t="shared" si="25"/>
        <v>0</v>
      </c>
      <c r="BI396" s="88">
        <f t="shared" si="26"/>
        <v>0</v>
      </c>
      <c r="BJ396" s="88">
        <f t="shared" si="27"/>
        <v>0</v>
      </c>
      <c r="BQ396" s="69"/>
    </row>
    <row r="397" spans="8:69" x14ac:dyDescent="0.25">
      <c r="H397" s="83"/>
      <c r="I397" s="83"/>
      <c r="BG397" s="86"/>
      <c r="BH397" s="87">
        <f t="shared" si="25"/>
        <v>0</v>
      </c>
      <c r="BI397" s="88">
        <f t="shared" si="26"/>
        <v>0</v>
      </c>
      <c r="BJ397" s="88">
        <f t="shared" si="27"/>
        <v>0</v>
      </c>
      <c r="BQ397" s="69"/>
    </row>
    <row r="398" spans="8:69" x14ac:dyDescent="0.25">
      <c r="H398" s="83"/>
      <c r="I398" s="83"/>
      <c r="BG398" s="86"/>
      <c r="BH398" s="87">
        <f t="shared" ref="BH398:BH461" si="28">$I398-$H398</f>
        <v>0</v>
      </c>
      <c r="BI398" s="88">
        <f t="shared" ref="BI398:BI461" si="29">IF($N398="W", IF(ROW()=1, 1, BI397+1), 0)</f>
        <v>0</v>
      </c>
      <c r="BJ398" s="88">
        <f t="shared" ref="BJ398:BJ461" si="30">IF($N398="l", IF(ROW()=1, 1, BJ397+1), 0)</f>
        <v>0</v>
      </c>
      <c r="BQ398" s="69"/>
    </row>
    <row r="399" spans="8:69" x14ac:dyDescent="0.25">
      <c r="H399" s="83"/>
      <c r="I399" s="83"/>
      <c r="BG399" s="86"/>
      <c r="BH399" s="87">
        <f t="shared" si="28"/>
        <v>0</v>
      </c>
      <c r="BI399" s="88">
        <f t="shared" si="29"/>
        <v>0</v>
      </c>
      <c r="BJ399" s="88">
        <f t="shared" si="30"/>
        <v>0</v>
      </c>
      <c r="BQ399" s="69"/>
    </row>
    <row r="400" spans="8:69" x14ac:dyDescent="0.25">
      <c r="H400" s="83"/>
      <c r="I400" s="83"/>
      <c r="BG400" s="86"/>
      <c r="BH400" s="87">
        <f t="shared" si="28"/>
        <v>0</v>
      </c>
      <c r="BI400" s="88">
        <f t="shared" si="29"/>
        <v>0</v>
      </c>
      <c r="BJ400" s="88">
        <f t="shared" si="30"/>
        <v>0</v>
      </c>
      <c r="BQ400" s="69"/>
    </row>
    <row r="401" spans="8:69" x14ac:dyDescent="0.25">
      <c r="H401" s="83"/>
      <c r="I401" s="83"/>
      <c r="BG401" s="86"/>
      <c r="BH401" s="87">
        <f t="shared" si="28"/>
        <v>0</v>
      </c>
      <c r="BI401" s="88">
        <f t="shared" si="29"/>
        <v>0</v>
      </c>
      <c r="BJ401" s="88">
        <f t="shared" si="30"/>
        <v>0</v>
      </c>
      <c r="BQ401" s="69"/>
    </row>
    <row r="402" spans="8:69" x14ac:dyDescent="0.25">
      <c r="H402" s="83"/>
      <c r="I402" s="83"/>
      <c r="BG402" s="86"/>
      <c r="BH402" s="87">
        <f t="shared" si="28"/>
        <v>0</v>
      </c>
      <c r="BI402" s="88">
        <f t="shared" si="29"/>
        <v>0</v>
      </c>
      <c r="BJ402" s="88">
        <f t="shared" si="30"/>
        <v>0</v>
      </c>
      <c r="BQ402" s="69"/>
    </row>
    <row r="403" spans="8:69" x14ac:dyDescent="0.25">
      <c r="H403" s="83"/>
      <c r="I403" s="83"/>
      <c r="BG403" s="86"/>
      <c r="BH403" s="87">
        <f t="shared" si="28"/>
        <v>0</v>
      </c>
      <c r="BI403" s="88">
        <f t="shared" si="29"/>
        <v>0</v>
      </c>
      <c r="BJ403" s="88">
        <f t="shared" si="30"/>
        <v>0</v>
      </c>
      <c r="BQ403" s="69"/>
    </row>
    <row r="404" spans="8:69" x14ac:dyDescent="0.25">
      <c r="H404" s="83"/>
      <c r="I404" s="83"/>
      <c r="BG404" s="86"/>
      <c r="BH404" s="87">
        <f t="shared" si="28"/>
        <v>0</v>
      </c>
      <c r="BI404" s="88">
        <f t="shared" si="29"/>
        <v>0</v>
      </c>
      <c r="BJ404" s="88">
        <f t="shared" si="30"/>
        <v>0</v>
      </c>
      <c r="BQ404" s="69"/>
    </row>
    <row r="405" spans="8:69" x14ac:dyDescent="0.25">
      <c r="H405" s="83"/>
      <c r="I405" s="83"/>
      <c r="BG405" s="86"/>
      <c r="BH405" s="87">
        <f t="shared" si="28"/>
        <v>0</v>
      </c>
      <c r="BI405" s="88">
        <f t="shared" si="29"/>
        <v>0</v>
      </c>
      <c r="BJ405" s="88">
        <f t="shared" si="30"/>
        <v>0</v>
      </c>
      <c r="BQ405" s="69"/>
    </row>
    <row r="406" spans="8:69" x14ac:dyDescent="0.25">
      <c r="H406" s="83"/>
      <c r="I406" s="83"/>
      <c r="BG406" s="86"/>
      <c r="BH406" s="87">
        <f t="shared" si="28"/>
        <v>0</v>
      </c>
      <c r="BI406" s="88">
        <f t="shared" si="29"/>
        <v>0</v>
      </c>
      <c r="BJ406" s="88">
        <f t="shared" si="30"/>
        <v>0</v>
      </c>
      <c r="BQ406" s="69"/>
    </row>
    <row r="407" spans="8:69" x14ac:dyDescent="0.25">
      <c r="H407" s="83"/>
      <c r="I407" s="83"/>
      <c r="BG407" s="86"/>
      <c r="BH407" s="87">
        <f t="shared" si="28"/>
        <v>0</v>
      </c>
      <c r="BI407" s="88">
        <f t="shared" si="29"/>
        <v>0</v>
      </c>
      <c r="BJ407" s="88">
        <f t="shared" si="30"/>
        <v>0</v>
      </c>
      <c r="BQ407" s="69"/>
    </row>
    <row r="408" spans="8:69" x14ac:dyDescent="0.25">
      <c r="H408" s="83"/>
      <c r="I408" s="83"/>
      <c r="BG408" s="86"/>
      <c r="BH408" s="87">
        <f t="shared" si="28"/>
        <v>0</v>
      </c>
      <c r="BI408" s="88">
        <f t="shared" si="29"/>
        <v>0</v>
      </c>
      <c r="BJ408" s="88">
        <f t="shared" si="30"/>
        <v>0</v>
      </c>
      <c r="BQ408" s="69"/>
    </row>
    <row r="409" spans="8:69" x14ac:dyDescent="0.25">
      <c r="H409" s="83"/>
      <c r="I409" s="83"/>
      <c r="BG409" s="86"/>
      <c r="BH409" s="87">
        <f t="shared" si="28"/>
        <v>0</v>
      </c>
      <c r="BI409" s="88">
        <f t="shared" si="29"/>
        <v>0</v>
      </c>
      <c r="BJ409" s="88">
        <f t="shared" si="30"/>
        <v>0</v>
      </c>
      <c r="BQ409" s="69"/>
    </row>
    <row r="410" spans="8:69" x14ac:dyDescent="0.25">
      <c r="H410" s="83"/>
      <c r="I410" s="83"/>
      <c r="BG410" s="86"/>
      <c r="BH410" s="87">
        <f t="shared" si="28"/>
        <v>0</v>
      </c>
      <c r="BI410" s="88">
        <f t="shared" si="29"/>
        <v>0</v>
      </c>
      <c r="BJ410" s="88">
        <f t="shared" si="30"/>
        <v>0</v>
      </c>
      <c r="BQ410" s="69"/>
    </row>
    <row r="411" spans="8:69" x14ac:dyDescent="0.25">
      <c r="H411" s="83"/>
      <c r="I411" s="83"/>
      <c r="BG411" s="86"/>
      <c r="BH411" s="87">
        <f t="shared" si="28"/>
        <v>0</v>
      </c>
      <c r="BI411" s="88">
        <f t="shared" si="29"/>
        <v>0</v>
      </c>
      <c r="BJ411" s="88">
        <f t="shared" si="30"/>
        <v>0</v>
      </c>
      <c r="BQ411" s="69"/>
    </row>
    <row r="412" spans="8:69" x14ac:dyDescent="0.25">
      <c r="H412" s="83"/>
      <c r="I412" s="83"/>
      <c r="BG412" s="86"/>
      <c r="BH412" s="87">
        <f t="shared" si="28"/>
        <v>0</v>
      </c>
      <c r="BI412" s="88">
        <f t="shared" si="29"/>
        <v>0</v>
      </c>
      <c r="BJ412" s="88">
        <f t="shared" si="30"/>
        <v>0</v>
      </c>
      <c r="BQ412" s="69"/>
    </row>
    <row r="413" spans="8:69" x14ac:dyDescent="0.25">
      <c r="H413" s="83"/>
      <c r="I413" s="83"/>
      <c r="BG413" s="86"/>
      <c r="BH413" s="87">
        <f t="shared" si="28"/>
        <v>0</v>
      </c>
      <c r="BI413" s="88">
        <f t="shared" si="29"/>
        <v>0</v>
      </c>
      <c r="BJ413" s="88">
        <f t="shared" si="30"/>
        <v>0</v>
      </c>
      <c r="BQ413" s="69"/>
    </row>
    <row r="414" spans="8:69" x14ac:dyDescent="0.25">
      <c r="H414" s="83"/>
      <c r="I414" s="83"/>
      <c r="BG414" s="86"/>
      <c r="BH414" s="87">
        <f t="shared" si="28"/>
        <v>0</v>
      </c>
      <c r="BI414" s="88">
        <f t="shared" si="29"/>
        <v>0</v>
      </c>
      <c r="BJ414" s="88">
        <f t="shared" si="30"/>
        <v>0</v>
      </c>
      <c r="BQ414" s="69"/>
    </row>
    <row r="415" spans="8:69" x14ac:dyDescent="0.25">
      <c r="H415" s="83"/>
      <c r="I415" s="83"/>
      <c r="BG415" s="86"/>
      <c r="BH415" s="87">
        <f t="shared" si="28"/>
        <v>0</v>
      </c>
      <c r="BI415" s="88">
        <f t="shared" si="29"/>
        <v>0</v>
      </c>
      <c r="BJ415" s="88">
        <f t="shared" si="30"/>
        <v>0</v>
      </c>
      <c r="BQ415" s="69"/>
    </row>
    <row r="416" spans="8:69" x14ac:dyDescent="0.25">
      <c r="H416" s="83"/>
      <c r="I416" s="83"/>
      <c r="BG416" s="86"/>
      <c r="BH416" s="87">
        <f t="shared" si="28"/>
        <v>0</v>
      </c>
      <c r="BI416" s="88">
        <f t="shared" si="29"/>
        <v>0</v>
      </c>
      <c r="BJ416" s="88">
        <f t="shared" si="30"/>
        <v>0</v>
      </c>
      <c r="BQ416" s="69"/>
    </row>
    <row r="417" spans="8:69" x14ac:dyDescent="0.25">
      <c r="H417" s="83"/>
      <c r="I417" s="83"/>
      <c r="BG417" s="86"/>
      <c r="BH417" s="87">
        <f t="shared" si="28"/>
        <v>0</v>
      </c>
      <c r="BI417" s="88">
        <f t="shared" si="29"/>
        <v>0</v>
      </c>
      <c r="BJ417" s="88">
        <f t="shared" si="30"/>
        <v>0</v>
      </c>
      <c r="BQ417" s="69"/>
    </row>
    <row r="418" spans="8:69" x14ac:dyDescent="0.25">
      <c r="H418" s="83"/>
      <c r="I418" s="83"/>
      <c r="BG418" s="86"/>
      <c r="BH418" s="87">
        <f t="shared" si="28"/>
        <v>0</v>
      </c>
      <c r="BI418" s="88">
        <f t="shared" si="29"/>
        <v>0</v>
      </c>
      <c r="BJ418" s="88">
        <f t="shared" si="30"/>
        <v>0</v>
      </c>
      <c r="BQ418" s="69"/>
    </row>
    <row r="419" spans="8:69" x14ac:dyDescent="0.25">
      <c r="H419" s="83"/>
      <c r="I419" s="83"/>
      <c r="BG419" s="86"/>
      <c r="BH419" s="87">
        <f t="shared" si="28"/>
        <v>0</v>
      </c>
      <c r="BI419" s="88">
        <f t="shared" si="29"/>
        <v>0</v>
      </c>
      <c r="BJ419" s="88">
        <f t="shared" si="30"/>
        <v>0</v>
      </c>
      <c r="BQ419" s="69"/>
    </row>
    <row r="420" spans="8:69" x14ac:dyDescent="0.25">
      <c r="H420" s="83"/>
      <c r="I420" s="83"/>
      <c r="BG420" s="86"/>
      <c r="BH420" s="87">
        <f t="shared" si="28"/>
        <v>0</v>
      </c>
      <c r="BI420" s="88">
        <f t="shared" si="29"/>
        <v>0</v>
      </c>
      <c r="BJ420" s="88">
        <f t="shared" si="30"/>
        <v>0</v>
      </c>
      <c r="BQ420" s="69"/>
    </row>
    <row r="421" spans="8:69" x14ac:dyDescent="0.25">
      <c r="H421" s="83"/>
      <c r="I421" s="83"/>
      <c r="BG421" s="86"/>
      <c r="BH421" s="87">
        <f t="shared" si="28"/>
        <v>0</v>
      </c>
      <c r="BI421" s="88">
        <f t="shared" si="29"/>
        <v>0</v>
      </c>
      <c r="BJ421" s="88">
        <f t="shared" si="30"/>
        <v>0</v>
      </c>
      <c r="BQ421" s="69"/>
    </row>
    <row r="422" spans="8:69" x14ac:dyDescent="0.25">
      <c r="H422" s="83"/>
      <c r="I422" s="83"/>
      <c r="BG422" s="86"/>
      <c r="BH422" s="87">
        <f t="shared" si="28"/>
        <v>0</v>
      </c>
      <c r="BI422" s="88">
        <f t="shared" si="29"/>
        <v>0</v>
      </c>
      <c r="BJ422" s="88">
        <f t="shared" si="30"/>
        <v>0</v>
      </c>
      <c r="BQ422" s="69"/>
    </row>
    <row r="423" spans="8:69" x14ac:dyDescent="0.25">
      <c r="H423" s="83"/>
      <c r="I423" s="83"/>
      <c r="BG423" s="86"/>
      <c r="BH423" s="87">
        <f t="shared" si="28"/>
        <v>0</v>
      </c>
      <c r="BI423" s="88">
        <f t="shared" si="29"/>
        <v>0</v>
      </c>
      <c r="BJ423" s="88">
        <f t="shared" si="30"/>
        <v>0</v>
      </c>
      <c r="BQ423" s="69"/>
    </row>
    <row r="424" spans="8:69" x14ac:dyDescent="0.25">
      <c r="H424" s="83"/>
      <c r="I424" s="83"/>
      <c r="BG424" s="86"/>
      <c r="BH424" s="87">
        <f t="shared" si="28"/>
        <v>0</v>
      </c>
      <c r="BI424" s="88">
        <f t="shared" si="29"/>
        <v>0</v>
      </c>
      <c r="BJ424" s="88">
        <f t="shared" si="30"/>
        <v>0</v>
      </c>
      <c r="BQ424" s="69"/>
    </row>
    <row r="425" spans="8:69" x14ac:dyDescent="0.25">
      <c r="H425" s="83"/>
      <c r="I425" s="83"/>
      <c r="BG425" s="86"/>
      <c r="BH425" s="87">
        <f t="shared" si="28"/>
        <v>0</v>
      </c>
      <c r="BI425" s="88">
        <f t="shared" si="29"/>
        <v>0</v>
      </c>
      <c r="BJ425" s="88">
        <f t="shared" si="30"/>
        <v>0</v>
      </c>
      <c r="BQ425" s="69"/>
    </row>
    <row r="426" spans="8:69" x14ac:dyDescent="0.25">
      <c r="H426" s="83"/>
      <c r="I426" s="83"/>
      <c r="BG426" s="86"/>
      <c r="BH426" s="87">
        <f t="shared" si="28"/>
        <v>0</v>
      </c>
      <c r="BI426" s="88">
        <f t="shared" si="29"/>
        <v>0</v>
      </c>
      <c r="BJ426" s="88">
        <f t="shared" si="30"/>
        <v>0</v>
      </c>
      <c r="BQ426" s="69"/>
    </row>
    <row r="427" spans="8:69" x14ac:dyDescent="0.25">
      <c r="H427" s="83"/>
      <c r="I427" s="83"/>
      <c r="BG427" s="86"/>
      <c r="BH427" s="87">
        <f t="shared" si="28"/>
        <v>0</v>
      </c>
      <c r="BI427" s="88">
        <f t="shared" si="29"/>
        <v>0</v>
      </c>
      <c r="BJ427" s="88">
        <f t="shared" si="30"/>
        <v>0</v>
      </c>
      <c r="BQ427" s="69"/>
    </row>
    <row r="428" spans="8:69" x14ac:dyDescent="0.25">
      <c r="H428" s="83"/>
      <c r="I428" s="83"/>
      <c r="BG428" s="86"/>
      <c r="BH428" s="87">
        <f t="shared" si="28"/>
        <v>0</v>
      </c>
      <c r="BI428" s="88">
        <f t="shared" si="29"/>
        <v>0</v>
      </c>
      <c r="BJ428" s="88">
        <f t="shared" si="30"/>
        <v>0</v>
      </c>
      <c r="BQ428" s="69"/>
    </row>
    <row r="429" spans="8:69" x14ac:dyDescent="0.25">
      <c r="H429" s="83"/>
      <c r="I429" s="83"/>
      <c r="BG429" s="86"/>
      <c r="BH429" s="87">
        <f t="shared" si="28"/>
        <v>0</v>
      </c>
      <c r="BI429" s="88">
        <f t="shared" si="29"/>
        <v>0</v>
      </c>
      <c r="BJ429" s="88">
        <f t="shared" si="30"/>
        <v>0</v>
      </c>
      <c r="BQ429" s="69"/>
    </row>
    <row r="430" spans="8:69" x14ac:dyDescent="0.25">
      <c r="H430" s="83"/>
      <c r="I430" s="83"/>
      <c r="BG430" s="86"/>
      <c r="BH430" s="87">
        <f t="shared" si="28"/>
        <v>0</v>
      </c>
      <c r="BI430" s="88">
        <f t="shared" si="29"/>
        <v>0</v>
      </c>
      <c r="BJ430" s="88">
        <f t="shared" si="30"/>
        <v>0</v>
      </c>
      <c r="BQ430" s="69"/>
    </row>
    <row r="431" spans="8:69" x14ac:dyDescent="0.25">
      <c r="H431" s="83"/>
      <c r="I431" s="83"/>
      <c r="BG431" s="86"/>
      <c r="BH431" s="87">
        <f t="shared" si="28"/>
        <v>0</v>
      </c>
      <c r="BI431" s="88">
        <f t="shared" si="29"/>
        <v>0</v>
      </c>
      <c r="BJ431" s="88">
        <f t="shared" si="30"/>
        <v>0</v>
      </c>
      <c r="BQ431" s="69"/>
    </row>
    <row r="432" spans="8:69" x14ac:dyDescent="0.25">
      <c r="H432" s="83"/>
      <c r="I432" s="83"/>
      <c r="BG432" s="86"/>
      <c r="BH432" s="87">
        <f t="shared" si="28"/>
        <v>0</v>
      </c>
      <c r="BI432" s="88">
        <f t="shared" si="29"/>
        <v>0</v>
      </c>
      <c r="BJ432" s="88">
        <f t="shared" si="30"/>
        <v>0</v>
      </c>
      <c r="BQ432" s="69"/>
    </row>
    <row r="433" spans="8:69" x14ac:dyDescent="0.25">
      <c r="H433" s="83"/>
      <c r="I433" s="83"/>
      <c r="BG433" s="86"/>
      <c r="BH433" s="87">
        <f t="shared" si="28"/>
        <v>0</v>
      </c>
      <c r="BI433" s="88">
        <f t="shared" si="29"/>
        <v>0</v>
      </c>
      <c r="BJ433" s="88">
        <f t="shared" si="30"/>
        <v>0</v>
      </c>
      <c r="BQ433" s="69"/>
    </row>
    <row r="434" spans="8:69" x14ac:dyDescent="0.25">
      <c r="H434" s="83"/>
      <c r="I434" s="83"/>
      <c r="BG434" s="86"/>
      <c r="BH434" s="87">
        <f t="shared" si="28"/>
        <v>0</v>
      </c>
      <c r="BI434" s="88">
        <f t="shared" si="29"/>
        <v>0</v>
      </c>
      <c r="BJ434" s="88">
        <f t="shared" si="30"/>
        <v>0</v>
      </c>
      <c r="BQ434" s="69"/>
    </row>
    <row r="435" spans="8:69" x14ac:dyDescent="0.25">
      <c r="H435" s="83"/>
      <c r="I435" s="83"/>
      <c r="BG435" s="86"/>
      <c r="BH435" s="87">
        <f t="shared" si="28"/>
        <v>0</v>
      </c>
      <c r="BI435" s="88">
        <f t="shared" si="29"/>
        <v>0</v>
      </c>
      <c r="BJ435" s="88">
        <f t="shared" si="30"/>
        <v>0</v>
      </c>
      <c r="BQ435" s="69"/>
    </row>
    <row r="436" spans="8:69" x14ac:dyDescent="0.25">
      <c r="H436" s="83"/>
      <c r="I436" s="83"/>
      <c r="BG436" s="86"/>
      <c r="BH436" s="87">
        <f t="shared" si="28"/>
        <v>0</v>
      </c>
      <c r="BI436" s="88">
        <f t="shared" si="29"/>
        <v>0</v>
      </c>
      <c r="BJ436" s="88">
        <f t="shared" si="30"/>
        <v>0</v>
      </c>
      <c r="BQ436" s="69"/>
    </row>
    <row r="437" spans="8:69" x14ac:dyDescent="0.25">
      <c r="H437" s="83"/>
      <c r="I437" s="83"/>
      <c r="BG437" s="86"/>
      <c r="BH437" s="87">
        <f t="shared" si="28"/>
        <v>0</v>
      </c>
      <c r="BI437" s="88">
        <f t="shared" si="29"/>
        <v>0</v>
      </c>
      <c r="BJ437" s="88">
        <f t="shared" si="30"/>
        <v>0</v>
      </c>
      <c r="BQ437" s="69"/>
    </row>
    <row r="438" spans="8:69" x14ac:dyDescent="0.25">
      <c r="H438" s="83"/>
      <c r="I438" s="83"/>
      <c r="BG438" s="86"/>
      <c r="BH438" s="87">
        <f t="shared" si="28"/>
        <v>0</v>
      </c>
      <c r="BI438" s="88">
        <f t="shared" si="29"/>
        <v>0</v>
      </c>
      <c r="BJ438" s="88">
        <f t="shared" si="30"/>
        <v>0</v>
      </c>
      <c r="BQ438" s="69"/>
    </row>
    <row r="439" spans="8:69" x14ac:dyDescent="0.25">
      <c r="H439" s="83"/>
      <c r="I439" s="83"/>
      <c r="BG439" s="86"/>
      <c r="BH439" s="87">
        <f t="shared" si="28"/>
        <v>0</v>
      </c>
      <c r="BI439" s="88">
        <f t="shared" si="29"/>
        <v>0</v>
      </c>
      <c r="BJ439" s="88">
        <f t="shared" si="30"/>
        <v>0</v>
      </c>
      <c r="BQ439" s="69"/>
    </row>
    <row r="440" spans="8:69" x14ac:dyDescent="0.25">
      <c r="H440" s="83"/>
      <c r="I440" s="83"/>
      <c r="BG440" s="86"/>
      <c r="BH440" s="87">
        <f t="shared" si="28"/>
        <v>0</v>
      </c>
      <c r="BI440" s="88">
        <f t="shared" si="29"/>
        <v>0</v>
      </c>
      <c r="BJ440" s="88">
        <f t="shared" si="30"/>
        <v>0</v>
      </c>
      <c r="BQ440" s="69"/>
    </row>
    <row r="441" spans="8:69" x14ac:dyDescent="0.25">
      <c r="H441" s="83"/>
      <c r="I441" s="83"/>
      <c r="BG441" s="86"/>
      <c r="BH441" s="87">
        <f t="shared" si="28"/>
        <v>0</v>
      </c>
      <c r="BI441" s="88">
        <f t="shared" si="29"/>
        <v>0</v>
      </c>
      <c r="BJ441" s="88">
        <f t="shared" si="30"/>
        <v>0</v>
      </c>
      <c r="BQ441" s="69"/>
    </row>
    <row r="442" spans="8:69" x14ac:dyDescent="0.25">
      <c r="H442" s="83"/>
      <c r="I442" s="83"/>
      <c r="BG442" s="86"/>
      <c r="BH442" s="87">
        <f t="shared" si="28"/>
        <v>0</v>
      </c>
      <c r="BI442" s="88">
        <f t="shared" si="29"/>
        <v>0</v>
      </c>
      <c r="BJ442" s="88">
        <f t="shared" si="30"/>
        <v>0</v>
      </c>
      <c r="BQ442" s="69"/>
    </row>
    <row r="443" spans="8:69" x14ac:dyDescent="0.25">
      <c r="H443" s="83"/>
      <c r="I443" s="83"/>
      <c r="BG443" s="86"/>
      <c r="BH443" s="87">
        <f t="shared" si="28"/>
        <v>0</v>
      </c>
      <c r="BI443" s="88">
        <f t="shared" si="29"/>
        <v>0</v>
      </c>
      <c r="BJ443" s="88">
        <f t="shared" si="30"/>
        <v>0</v>
      </c>
      <c r="BQ443" s="69"/>
    </row>
    <row r="444" spans="8:69" x14ac:dyDescent="0.25">
      <c r="H444" s="83"/>
      <c r="I444" s="83"/>
      <c r="BG444" s="86"/>
      <c r="BH444" s="87">
        <f t="shared" si="28"/>
        <v>0</v>
      </c>
      <c r="BI444" s="88">
        <f t="shared" si="29"/>
        <v>0</v>
      </c>
      <c r="BJ444" s="88">
        <f t="shared" si="30"/>
        <v>0</v>
      </c>
      <c r="BQ444" s="69"/>
    </row>
    <row r="445" spans="8:69" x14ac:dyDescent="0.25">
      <c r="H445" s="83"/>
      <c r="I445" s="83"/>
      <c r="BG445" s="86"/>
      <c r="BH445" s="87">
        <f t="shared" si="28"/>
        <v>0</v>
      </c>
      <c r="BI445" s="88">
        <f t="shared" si="29"/>
        <v>0</v>
      </c>
      <c r="BJ445" s="88">
        <f t="shared" si="30"/>
        <v>0</v>
      </c>
      <c r="BQ445" s="69"/>
    </row>
    <row r="446" spans="8:69" x14ac:dyDescent="0.25">
      <c r="H446" s="83"/>
      <c r="I446" s="83"/>
      <c r="BG446" s="86"/>
      <c r="BH446" s="87">
        <f t="shared" si="28"/>
        <v>0</v>
      </c>
      <c r="BI446" s="88">
        <f t="shared" si="29"/>
        <v>0</v>
      </c>
      <c r="BJ446" s="88">
        <f t="shared" si="30"/>
        <v>0</v>
      </c>
      <c r="BQ446" s="69"/>
    </row>
    <row r="447" spans="8:69" x14ac:dyDescent="0.25">
      <c r="I447" s="83"/>
      <c r="BG447" s="86"/>
      <c r="BH447" s="87">
        <f t="shared" si="28"/>
        <v>0</v>
      </c>
      <c r="BI447" s="88">
        <f t="shared" si="29"/>
        <v>0</v>
      </c>
      <c r="BJ447" s="88">
        <f t="shared" si="30"/>
        <v>0</v>
      </c>
      <c r="BQ447" s="69"/>
    </row>
    <row r="448" spans="8:69" x14ac:dyDescent="0.25">
      <c r="I448" s="83"/>
      <c r="BG448" s="86"/>
      <c r="BH448" s="87">
        <f t="shared" si="28"/>
        <v>0</v>
      </c>
      <c r="BI448" s="88">
        <f t="shared" si="29"/>
        <v>0</v>
      </c>
      <c r="BJ448" s="88">
        <f t="shared" si="30"/>
        <v>0</v>
      </c>
      <c r="BQ448" s="69"/>
    </row>
    <row r="449" spans="9:69" x14ac:dyDescent="0.25">
      <c r="I449" s="83"/>
      <c r="BG449" s="86"/>
      <c r="BH449" s="87">
        <f t="shared" si="28"/>
        <v>0</v>
      </c>
      <c r="BI449" s="88">
        <f t="shared" si="29"/>
        <v>0</v>
      </c>
      <c r="BJ449" s="88">
        <f t="shared" si="30"/>
        <v>0</v>
      </c>
      <c r="BQ449" s="69"/>
    </row>
    <row r="450" spans="9:69" x14ac:dyDescent="0.25">
      <c r="I450" s="83"/>
      <c r="BG450" s="86"/>
      <c r="BH450" s="87">
        <f t="shared" si="28"/>
        <v>0</v>
      </c>
      <c r="BI450" s="88">
        <f t="shared" si="29"/>
        <v>0</v>
      </c>
      <c r="BJ450" s="88">
        <f t="shared" si="30"/>
        <v>0</v>
      </c>
      <c r="BQ450" s="69"/>
    </row>
    <row r="451" spans="9:69" x14ac:dyDescent="0.25">
      <c r="I451" s="83"/>
      <c r="BG451" s="86"/>
      <c r="BH451" s="87">
        <f t="shared" si="28"/>
        <v>0</v>
      </c>
      <c r="BI451" s="88">
        <f t="shared" si="29"/>
        <v>0</v>
      </c>
      <c r="BJ451" s="88">
        <f t="shared" si="30"/>
        <v>0</v>
      </c>
      <c r="BQ451" s="69"/>
    </row>
    <row r="452" spans="9:69" x14ac:dyDescent="0.25">
      <c r="I452" s="83"/>
      <c r="BG452" s="86"/>
      <c r="BH452" s="87">
        <f t="shared" si="28"/>
        <v>0</v>
      </c>
      <c r="BI452" s="88">
        <f t="shared" si="29"/>
        <v>0</v>
      </c>
      <c r="BJ452" s="88">
        <f t="shared" si="30"/>
        <v>0</v>
      </c>
      <c r="BQ452" s="69"/>
    </row>
    <row r="453" spans="9:69" x14ac:dyDescent="0.25">
      <c r="I453" s="83"/>
      <c r="BG453" s="86"/>
      <c r="BH453" s="87">
        <f t="shared" si="28"/>
        <v>0</v>
      </c>
      <c r="BI453" s="88">
        <f t="shared" si="29"/>
        <v>0</v>
      </c>
      <c r="BJ453" s="88">
        <f t="shared" si="30"/>
        <v>0</v>
      </c>
      <c r="BQ453" s="69"/>
    </row>
    <row r="454" spans="9:69" x14ac:dyDescent="0.25">
      <c r="I454" s="83"/>
      <c r="BG454" s="86"/>
      <c r="BH454" s="87">
        <f t="shared" si="28"/>
        <v>0</v>
      </c>
      <c r="BI454" s="88">
        <f t="shared" si="29"/>
        <v>0</v>
      </c>
      <c r="BJ454" s="88">
        <f t="shared" si="30"/>
        <v>0</v>
      </c>
      <c r="BQ454" s="69"/>
    </row>
    <row r="455" spans="9:69" x14ac:dyDescent="0.25">
      <c r="I455" s="83"/>
      <c r="BG455" s="86"/>
      <c r="BH455" s="87">
        <f t="shared" si="28"/>
        <v>0</v>
      </c>
      <c r="BI455" s="88">
        <f t="shared" si="29"/>
        <v>0</v>
      </c>
      <c r="BJ455" s="88">
        <f t="shared" si="30"/>
        <v>0</v>
      </c>
      <c r="BQ455" s="69"/>
    </row>
    <row r="456" spans="9:69" x14ac:dyDescent="0.25">
      <c r="I456" s="83"/>
      <c r="BG456" s="86"/>
      <c r="BH456" s="87">
        <f t="shared" si="28"/>
        <v>0</v>
      </c>
      <c r="BI456" s="88">
        <f t="shared" si="29"/>
        <v>0</v>
      </c>
      <c r="BJ456" s="88">
        <f t="shared" si="30"/>
        <v>0</v>
      </c>
      <c r="BQ456" s="69"/>
    </row>
    <row r="457" spans="9:69" x14ac:dyDescent="0.25">
      <c r="I457" s="83"/>
      <c r="BG457" s="86"/>
      <c r="BH457" s="87">
        <f t="shared" si="28"/>
        <v>0</v>
      </c>
      <c r="BI457" s="88">
        <f t="shared" si="29"/>
        <v>0</v>
      </c>
      <c r="BJ457" s="88">
        <f t="shared" si="30"/>
        <v>0</v>
      </c>
      <c r="BQ457" s="69"/>
    </row>
    <row r="458" spans="9:69" x14ac:dyDescent="0.25">
      <c r="I458" s="83"/>
      <c r="BG458" s="86"/>
      <c r="BH458" s="87">
        <f t="shared" si="28"/>
        <v>0</v>
      </c>
      <c r="BI458" s="88">
        <f t="shared" si="29"/>
        <v>0</v>
      </c>
      <c r="BJ458" s="88">
        <f t="shared" si="30"/>
        <v>0</v>
      </c>
      <c r="BQ458" s="69"/>
    </row>
    <row r="459" spans="9:69" x14ac:dyDescent="0.25">
      <c r="I459" s="83"/>
      <c r="BG459" s="86"/>
      <c r="BH459" s="87">
        <f t="shared" si="28"/>
        <v>0</v>
      </c>
      <c r="BI459" s="88">
        <f t="shared" si="29"/>
        <v>0</v>
      </c>
      <c r="BJ459" s="88">
        <f t="shared" si="30"/>
        <v>0</v>
      </c>
      <c r="BQ459" s="69"/>
    </row>
    <row r="460" spans="9:69" x14ac:dyDescent="0.25">
      <c r="I460" s="83"/>
      <c r="BG460" s="86"/>
      <c r="BH460" s="87">
        <f t="shared" si="28"/>
        <v>0</v>
      </c>
      <c r="BI460" s="88">
        <f t="shared" si="29"/>
        <v>0</v>
      </c>
      <c r="BJ460" s="88">
        <f t="shared" si="30"/>
        <v>0</v>
      </c>
      <c r="BQ460" s="69"/>
    </row>
    <row r="461" spans="9:69" x14ac:dyDescent="0.25">
      <c r="I461" s="83"/>
      <c r="BG461" s="86"/>
      <c r="BH461" s="87">
        <f t="shared" si="28"/>
        <v>0</v>
      </c>
      <c r="BI461" s="88">
        <f t="shared" si="29"/>
        <v>0</v>
      </c>
      <c r="BJ461" s="88">
        <f t="shared" si="30"/>
        <v>0</v>
      </c>
      <c r="BQ461" s="69"/>
    </row>
    <row r="462" spans="9:69" x14ac:dyDescent="0.25">
      <c r="I462" s="83"/>
      <c r="BG462" s="86"/>
      <c r="BH462" s="87">
        <f t="shared" ref="BH462:BH491" si="31">$I462-$H462</f>
        <v>0</v>
      </c>
      <c r="BI462" s="88">
        <f t="shared" ref="BI462:BI491" si="32">IF($N462="W", IF(ROW()=1, 1, BI461+1), 0)</f>
        <v>0</v>
      </c>
      <c r="BJ462" s="88">
        <f t="shared" ref="BJ462:BJ491" si="33">IF($N462="l", IF(ROW()=1, 1, BJ461+1), 0)</f>
        <v>0</v>
      </c>
      <c r="BQ462" s="69"/>
    </row>
    <row r="463" spans="9:69" x14ac:dyDescent="0.25">
      <c r="I463" s="83"/>
      <c r="BG463" s="86"/>
      <c r="BH463" s="87">
        <f t="shared" si="31"/>
        <v>0</v>
      </c>
      <c r="BI463" s="88">
        <f t="shared" si="32"/>
        <v>0</v>
      </c>
      <c r="BJ463" s="88">
        <f t="shared" si="33"/>
        <v>0</v>
      </c>
      <c r="BQ463" s="69"/>
    </row>
    <row r="464" spans="9:69" x14ac:dyDescent="0.25">
      <c r="I464" s="83"/>
      <c r="BG464" s="86"/>
      <c r="BH464" s="87">
        <f t="shared" si="31"/>
        <v>0</v>
      </c>
      <c r="BI464" s="88">
        <f t="shared" si="32"/>
        <v>0</v>
      </c>
      <c r="BJ464" s="88">
        <f t="shared" si="33"/>
        <v>0</v>
      </c>
      <c r="BQ464" s="69"/>
    </row>
    <row r="465" spans="9:69" x14ac:dyDescent="0.25">
      <c r="I465" s="83"/>
      <c r="BG465" s="86"/>
      <c r="BH465" s="87">
        <f t="shared" si="31"/>
        <v>0</v>
      </c>
      <c r="BI465" s="88">
        <f t="shared" si="32"/>
        <v>0</v>
      </c>
      <c r="BJ465" s="88">
        <f t="shared" si="33"/>
        <v>0</v>
      </c>
      <c r="BQ465" s="69"/>
    </row>
    <row r="466" spans="9:69" x14ac:dyDescent="0.25">
      <c r="I466" s="83"/>
      <c r="BG466" s="86"/>
      <c r="BH466" s="87">
        <f t="shared" si="31"/>
        <v>0</v>
      </c>
      <c r="BI466" s="88">
        <f t="shared" si="32"/>
        <v>0</v>
      </c>
      <c r="BJ466" s="88">
        <f t="shared" si="33"/>
        <v>0</v>
      </c>
      <c r="BQ466" s="69"/>
    </row>
    <row r="467" spans="9:69" x14ac:dyDescent="0.25">
      <c r="I467" s="83"/>
      <c r="BG467" s="86"/>
      <c r="BH467" s="87">
        <f t="shared" si="31"/>
        <v>0</v>
      </c>
      <c r="BI467" s="88">
        <f t="shared" si="32"/>
        <v>0</v>
      </c>
      <c r="BJ467" s="88">
        <f t="shared" si="33"/>
        <v>0</v>
      </c>
      <c r="BQ467" s="69"/>
    </row>
    <row r="468" spans="9:69" x14ac:dyDescent="0.25">
      <c r="I468" s="83"/>
      <c r="BG468" s="86"/>
      <c r="BH468" s="87">
        <f t="shared" si="31"/>
        <v>0</v>
      </c>
      <c r="BI468" s="88">
        <f t="shared" si="32"/>
        <v>0</v>
      </c>
      <c r="BJ468" s="88">
        <f t="shared" si="33"/>
        <v>0</v>
      </c>
      <c r="BQ468" s="69"/>
    </row>
    <row r="469" spans="9:69" x14ac:dyDescent="0.25">
      <c r="I469" s="83"/>
      <c r="BG469" s="86"/>
      <c r="BH469" s="87">
        <f t="shared" si="31"/>
        <v>0</v>
      </c>
      <c r="BI469" s="88">
        <f t="shared" si="32"/>
        <v>0</v>
      </c>
      <c r="BJ469" s="88">
        <f t="shared" si="33"/>
        <v>0</v>
      </c>
      <c r="BQ469" s="69"/>
    </row>
    <row r="470" spans="9:69" x14ac:dyDescent="0.25">
      <c r="I470" s="83"/>
      <c r="BG470" s="86"/>
      <c r="BH470" s="87">
        <f t="shared" si="31"/>
        <v>0</v>
      </c>
      <c r="BI470" s="88">
        <f t="shared" si="32"/>
        <v>0</v>
      </c>
      <c r="BJ470" s="88">
        <f t="shared" si="33"/>
        <v>0</v>
      </c>
      <c r="BQ470" s="69"/>
    </row>
    <row r="471" spans="9:69" x14ac:dyDescent="0.25">
      <c r="I471" s="83"/>
      <c r="BG471" s="86"/>
      <c r="BH471" s="87">
        <f t="shared" si="31"/>
        <v>0</v>
      </c>
      <c r="BI471" s="88">
        <f t="shared" si="32"/>
        <v>0</v>
      </c>
      <c r="BJ471" s="88">
        <f t="shared" si="33"/>
        <v>0</v>
      </c>
      <c r="BQ471" s="69"/>
    </row>
    <row r="472" spans="9:69" x14ac:dyDescent="0.25">
      <c r="I472" s="83"/>
      <c r="BG472" s="86"/>
      <c r="BH472" s="87">
        <f t="shared" si="31"/>
        <v>0</v>
      </c>
      <c r="BI472" s="88">
        <f t="shared" si="32"/>
        <v>0</v>
      </c>
      <c r="BJ472" s="88">
        <f t="shared" si="33"/>
        <v>0</v>
      </c>
      <c r="BQ472" s="69"/>
    </row>
    <row r="473" spans="9:69" x14ac:dyDescent="0.25">
      <c r="I473" s="83"/>
      <c r="BG473" s="86"/>
      <c r="BH473" s="87">
        <f t="shared" si="31"/>
        <v>0</v>
      </c>
      <c r="BI473" s="88">
        <f t="shared" si="32"/>
        <v>0</v>
      </c>
      <c r="BJ473" s="88">
        <f t="shared" si="33"/>
        <v>0</v>
      </c>
      <c r="BQ473" s="69"/>
    </row>
    <row r="474" spans="9:69" x14ac:dyDescent="0.25">
      <c r="I474" s="83"/>
      <c r="BG474" s="86"/>
      <c r="BH474" s="87">
        <f t="shared" si="31"/>
        <v>0</v>
      </c>
      <c r="BI474" s="88">
        <f t="shared" si="32"/>
        <v>0</v>
      </c>
      <c r="BJ474" s="88">
        <f t="shared" si="33"/>
        <v>0</v>
      </c>
      <c r="BQ474" s="69"/>
    </row>
    <row r="475" spans="9:69" x14ac:dyDescent="0.25">
      <c r="I475" s="83"/>
      <c r="BG475" s="86"/>
      <c r="BH475" s="87">
        <f t="shared" si="31"/>
        <v>0</v>
      </c>
      <c r="BI475" s="88">
        <f t="shared" si="32"/>
        <v>0</v>
      </c>
      <c r="BJ475" s="88">
        <f t="shared" si="33"/>
        <v>0</v>
      </c>
      <c r="BQ475" s="69"/>
    </row>
    <row r="476" spans="9:69" x14ac:dyDescent="0.25">
      <c r="I476" s="83"/>
      <c r="BG476" s="86"/>
      <c r="BH476" s="87">
        <f t="shared" si="31"/>
        <v>0</v>
      </c>
      <c r="BI476" s="88">
        <f t="shared" si="32"/>
        <v>0</v>
      </c>
      <c r="BJ476" s="88">
        <f t="shared" si="33"/>
        <v>0</v>
      </c>
      <c r="BQ476" s="69"/>
    </row>
    <row r="477" spans="9:69" x14ac:dyDescent="0.25">
      <c r="I477" s="83"/>
      <c r="BG477" s="86"/>
      <c r="BH477" s="87">
        <f t="shared" si="31"/>
        <v>0</v>
      </c>
      <c r="BI477" s="88">
        <f t="shared" si="32"/>
        <v>0</v>
      </c>
      <c r="BJ477" s="88">
        <f t="shared" si="33"/>
        <v>0</v>
      </c>
      <c r="BQ477" s="69"/>
    </row>
    <row r="478" spans="9:69" x14ac:dyDescent="0.25">
      <c r="I478" s="83"/>
      <c r="BG478" s="86"/>
      <c r="BH478" s="87">
        <f t="shared" si="31"/>
        <v>0</v>
      </c>
      <c r="BI478" s="88">
        <f t="shared" si="32"/>
        <v>0</v>
      </c>
      <c r="BJ478" s="88">
        <f t="shared" si="33"/>
        <v>0</v>
      </c>
      <c r="BQ478" s="69"/>
    </row>
    <row r="479" spans="9:69" x14ac:dyDescent="0.25">
      <c r="I479" s="83"/>
      <c r="BG479" s="86"/>
      <c r="BH479" s="87">
        <f t="shared" si="31"/>
        <v>0</v>
      </c>
      <c r="BI479" s="88">
        <f t="shared" si="32"/>
        <v>0</v>
      </c>
      <c r="BJ479" s="88">
        <f t="shared" si="33"/>
        <v>0</v>
      </c>
      <c r="BQ479" s="69"/>
    </row>
    <row r="480" spans="9:69" x14ac:dyDescent="0.25">
      <c r="I480" s="83"/>
      <c r="BG480" s="86"/>
      <c r="BH480" s="87">
        <f t="shared" si="31"/>
        <v>0</v>
      </c>
      <c r="BI480" s="88">
        <f t="shared" si="32"/>
        <v>0</v>
      </c>
      <c r="BJ480" s="88">
        <f t="shared" si="33"/>
        <v>0</v>
      </c>
      <c r="BQ480" s="69"/>
    </row>
    <row r="481" spans="9:69" x14ac:dyDescent="0.25">
      <c r="I481" s="83"/>
      <c r="BG481" s="86"/>
      <c r="BH481" s="87">
        <f t="shared" si="31"/>
        <v>0</v>
      </c>
      <c r="BI481" s="88">
        <f t="shared" si="32"/>
        <v>0</v>
      </c>
      <c r="BJ481" s="88">
        <f t="shared" si="33"/>
        <v>0</v>
      </c>
      <c r="BQ481" s="69"/>
    </row>
    <row r="482" spans="9:69" x14ac:dyDescent="0.25">
      <c r="I482" s="83"/>
      <c r="BG482" s="86"/>
      <c r="BH482" s="87">
        <f t="shared" si="31"/>
        <v>0</v>
      </c>
      <c r="BI482" s="88">
        <f t="shared" si="32"/>
        <v>0</v>
      </c>
      <c r="BJ482" s="88">
        <f t="shared" si="33"/>
        <v>0</v>
      </c>
      <c r="BQ482" s="69"/>
    </row>
    <row r="483" spans="9:69" x14ac:dyDescent="0.25">
      <c r="I483" s="83"/>
      <c r="BG483" s="86"/>
      <c r="BH483" s="87">
        <f t="shared" si="31"/>
        <v>0</v>
      </c>
      <c r="BI483" s="88">
        <f t="shared" si="32"/>
        <v>0</v>
      </c>
      <c r="BJ483" s="88">
        <f t="shared" si="33"/>
        <v>0</v>
      </c>
      <c r="BQ483" s="69"/>
    </row>
    <row r="484" spans="9:69" x14ac:dyDescent="0.25">
      <c r="I484" s="83"/>
      <c r="BG484" s="86"/>
      <c r="BH484" s="87">
        <f t="shared" si="31"/>
        <v>0</v>
      </c>
      <c r="BI484" s="88">
        <f t="shared" si="32"/>
        <v>0</v>
      </c>
      <c r="BJ484" s="88">
        <f t="shared" si="33"/>
        <v>0</v>
      </c>
      <c r="BQ484" s="69"/>
    </row>
    <row r="485" spans="9:69" x14ac:dyDescent="0.25">
      <c r="I485" s="83"/>
      <c r="BG485" s="86"/>
      <c r="BH485" s="87">
        <f t="shared" si="31"/>
        <v>0</v>
      </c>
      <c r="BI485" s="88">
        <f t="shared" si="32"/>
        <v>0</v>
      </c>
      <c r="BJ485" s="88">
        <f t="shared" si="33"/>
        <v>0</v>
      </c>
      <c r="BQ485" s="69"/>
    </row>
    <row r="486" spans="9:69" x14ac:dyDescent="0.25">
      <c r="I486" s="83"/>
      <c r="BG486" s="86"/>
      <c r="BH486" s="87">
        <f t="shared" si="31"/>
        <v>0</v>
      </c>
      <c r="BI486" s="88">
        <f t="shared" si="32"/>
        <v>0</v>
      </c>
      <c r="BJ486" s="88">
        <f t="shared" si="33"/>
        <v>0</v>
      </c>
      <c r="BQ486" s="69"/>
    </row>
    <row r="487" spans="9:69" x14ac:dyDescent="0.25">
      <c r="I487" s="83"/>
      <c r="BG487" s="86"/>
      <c r="BH487" s="87">
        <f t="shared" si="31"/>
        <v>0</v>
      </c>
      <c r="BI487" s="88">
        <f t="shared" si="32"/>
        <v>0</v>
      </c>
      <c r="BJ487" s="88">
        <f t="shared" si="33"/>
        <v>0</v>
      </c>
      <c r="BQ487" s="69"/>
    </row>
    <row r="488" spans="9:69" x14ac:dyDescent="0.25">
      <c r="I488" s="83"/>
      <c r="BG488" s="86"/>
      <c r="BH488" s="87">
        <f t="shared" si="31"/>
        <v>0</v>
      </c>
      <c r="BI488" s="88">
        <f t="shared" si="32"/>
        <v>0</v>
      </c>
      <c r="BJ488" s="88">
        <f t="shared" si="33"/>
        <v>0</v>
      </c>
      <c r="BQ488" s="69"/>
    </row>
    <row r="489" spans="9:69" x14ac:dyDescent="0.25">
      <c r="I489" s="83"/>
      <c r="BG489" s="86"/>
      <c r="BH489" s="87">
        <f t="shared" si="31"/>
        <v>0</v>
      </c>
      <c r="BI489" s="88">
        <f t="shared" si="32"/>
        <v>0</v>
      </c>
      <c r="BJ489" s="88">
        <f t="shared" si="33"/>
        <v>0</v>
      </c>
      <c r="BQ489" s="69"/>
    </row>
    <row r="490" spans="9:69" x14ac:dyDescent="0.25">
      <c r="I490" s="83"/>
      <c r="BG490" s="86"/>
      <c r="BH490" s="87">
        <f t="shared" si="31"/>
        <v>0</v>
      </c>
      <c r="BI490" s="88">
        <f t="shared" si="32"/>
        <v>0</v>
      </c>
      <c r="BJ490" s="88">
        <f t="shared" si="33"/>
        <v>0</v>
      </c>
      <c r="BQ490" s="69"/>
    </row>
    <row r="491" spans="9:69" x14ac:dyDescent="0.25">
      <c r="I491" s="83"/>
      <c r="BG491" s="86"/>
      <c r="BH491" s="87">
        <f t="shared" si="31"/>
        <v>0</v>
      </c>
      <c r="BI491" s="88">
        <f t="shared" si="32"/>
        <v>0</v>
      </c>
      <c r="BJ491" s="88">
        <f t="shared" si="33"/>
        <v>0</v>
      </c>
      <c r="BQ491" s="69"/>
    </row>
    <row r="492" spans="9:69" x14ac:dyDescent="0.25">
      <c r="I492" s="83"/>
      <c r="BQ492" s="69"/>
    </row>
    <row r="493" spans="9:69" x14ac:dyDescent="0.25">
      <c r="I493" s="83"/>
      <c r="BQ493" s="69"/>
    </row>
    <row r="494" spans="9:69" x14ac:dyDescent="0.25">
      <c r="I494" s="83"/>
      <c r="BQ494" s="69"/>
    </row>
    <row r="495" spans="9:69" x14ac:dyDescent="0.25">
      <c r="I495" s="83"/>
      <c r="BQ495" s="69"/>
    </row>
    <row r="496" spans="9:69" x14ac:dyDescent="0.25">
      <c r="I496" s="83"/>
      <c r="BQ496" s="69"/>
    </row>
    <row r="497" spans="9:69" x14ac:dyDescent="0.25">
      <c r="I497" s="83"/>
      <c r="BQ497" s="69"/>
    </row>
    <row r="498" spans="9:69" x14ac:dyDescent="0.25">
      <c r="I498" s="83"/>
      <c r="BQ498" s="69"/>
    </row>
    <row r="499" spans="9:69" x14ac:dyDescent="0.25">
      <c r="I499" s="83"/>
      <c r="BQ499" s="69"/>
    </row>
    <row r="500" spans="9:69" x14ac:dyDescent="0.25">
      <c r="I500" s="83"/>
      <c r="BQ500" s="69"/>
    </row>
    <row r="501" spans="9:69" x14ac:dyDescent="0.25">
      <c r="BQ501" s="69"/>
    </row>
    <row r="502" spans="9:69" x14ac:dyDescent="0.25">
      <c r="BQ502" s="69"/>
    </row>
    <row r="503" spans="9:69" x14ac:dyDescent="0.25">
      <c r="BQ503" s="69"/>
    </row>
    <row r="504" spans="9:69" x14ac:dyDescent="0.25">
      <c r="BQ504" s="69"/>
    </row>
    <row r="505" spans="9:69" x14ac:dyDescent="0.25">
      <c r="BQ505" s="69"/>
    </row>
    <row r="506" spans="9:69" x14ac:dyDescent="0.25">
      <c r="BQ506" s="69"/>
    </row>
  </sheetData>
  <sheetProtection algorithmName="SHA-512" hashValue="D8xUPLOkLiNhhxh8v2/J6PxFy72k0O+JwVNsl1OVoEQOZiP49XpTDm7HmE5sMQ3U7jjeD0zZsAm+6lT4Z9Gx8g==" saltValue="c4vIO8/rzmVmj2roKnPElg==" spinCount="100000" sheet="1" objects="1" scenarios="1"/>
  <mergeCells count="6">
    <mergeCell ref="Y9:AC9"/>
    <mergeCell ref="H11:I11"/>
    <mergeCell ref="B3:W3"/>
    <mergeCell ref="B9:I9"/>
    <mergeCell ref="J9:Q9"/>
    <mergeCell ref="R9:W9"/>
  </mergeCells>
  <conditionalFormatting sqref="G7">
    <cfRule type="expression" dxfId="9" priority="10">
      <formula>$G$7 &lt; 0</formula>
    </cfRule>
    <cfRule type="expression" dxfId="8" priority="11">
      <formula>$G$7 &gt; 0</formula>
    </cfRule>
  </conditionalFormatting>
  <conditionalFormatting sqref="H7">
    <cfRule type="expression" dxfId="7" priority="8">
      <formula>$H$7 &lt; 0.1%</formula>
    </cfRule>
    <cfRule type="expression" dxfId="6" priority="9">
      <formula>$H$7 &gt;0.1%</formula>
    </cfRule>
  </conditionalFormatting>
  <conditionalFormatting sqref="P13:P1048576">
    <cfRule type="expression" dxfId="5" priority="1">
      <formula>$O13 = "breakeven"</formula>
    </cfRule>
    <cfRule type="expression" dxfId="4" priority="2">
      <formula>$O13 = "big profit"</formula>
    </cfRule>
    <cfRule type="expression" dxfId="3" priority="3">
      <formula>$O13 = "big loss"</formula>
    </cfRule>
    <cfRule type="expression" dxfId="2" priority="4">
      <formula>IF( $O13 = "trailing stoploss",$P$13+$M$13)</formula>
    </cfRule>
    <cfRule type="expression" dxfId="1" priority="5">
      <formula>$O13 = "target"</formula>
    </cfRule>
    <cfRule type="expression" dxfId="0" priority="6">
      <formula xml:space="preserve"> $O13 = "stoploss"</formula>
    </cfRule>
  </conditionalFormatting>
  <conditionalFormatting sqref="R11:S11">
    <cfRule type="expression" priority="7">
      <formula>IF($R$11 = "","ENTER VALUE HERE","")</formula>
    </cfRule>
  </conditionalFormatting>
  <dataValidations count="4">
    <dataValidation type="list" allowBlank="1" showInputMessage="1" showErrorMessage="1" sqref="J13:J1048576" xr:uid="{C16CDCE0-6765-4B81-8E03-2E302F6C4071}">
      <formula1>"LONG,SHORT"</formula1>
    </dataValidation>
    <dataValidation type="list" allowBlank="1" showInputMessage="1" showErrorMessage="1" sqref="D13:D1048576" xr:uid="{6FD9B9A5-ECF2-4E88-A93A-BA97230AB7FD}">
      <formula1>"MONDAY,TUESDAY,WEDNESDAY,THURSDAY,FRIDAY"</formula1>
    </dataValidation>
    <dataValidation type="list" allowBlank="1" showInputMessage="1" showErrorMessage="1" sqref="O13:O1048576" xr:uid="{6E2C0781-4A7A-409B-97F6-1DBEF5337117}">
      <formula1>"TARGET,STOPLOSS,TRAILING STOPLOSS,BREAKEVEN,BIG LOSS,BIG PROFIT"</formula1>
    </dataValidation>
    <dataValidation type="list" allowBlank="1" showInputMessage="1" showErrorMessage="1" sqref="N13:N1048576" xr:uid="{47465CFC-F872-40C9-B118-13DDB6ABB06C}">
      <formula1>"W,L"</formula1>
    </dataValidation>
  </dataValidations>
  <pageMargins left="0.7" right="0.7" top="0.75" bottom="0.75" header="0.3" footer="0.3"/>
  <pageSetup orientation="portrait" r:id="rId1"/>
  <ignoredErrors>
    <ignoredError sqref="AA16:AA27 AB12:AB27 AA12:AA15 AC12:AC27 R12 Q13:Q132 R13:R132 AA28:AC117"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1913-A8C1-49E6-9C00-5FB69C0502E6}">
  <dimension ref="A1:AT82"/>
  <sheetViews>
    <sheetView showGridLines="0" showRowColHeaders="0" topLeftCell="A55" zoomScale="80" zoomScaleNormal="80" workbookViewId="0">
      <selection activeCell="G34" sqref="G34:AJ34"/>
    </sheetView>
  </sheetViews>
  <sheetFormatPr defaultRowHeight="26.25" x14ac:dyDescent="0.4"/>
  <cols>
    <col min="1" max="6" width="9.140625" style="1"/>
    <col min="7" max="36" width="9.140625" style="14"/>
    <col min="37" max="45" width="9.140625" style="1"/>
    <col min="46" max="46" width="172" style="100" bestFit="1" customWidth="1"/>
    <col min="47" max="16384" width="9.140625" style="1"/>
  </cols>
  <sheetData>
    <row r="1" spans="1:46" ht="15" x14ac:dyDescent="0.25">
      <c r="A1" s="2"/>
      <c r="B1" s="2"/>
      <c r="C1" s="2"/>
      <c r="D1" s="2"/>
      <c r="E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46" ht="15" x14ac:dyDescent="0.25">
      <c r="A2" s="2"/>
      <c r="B2" s="2"/>
      <c r="C2" s="2"/>
      <c r="D2" s="2"/>
      <c r="E2" s="2"/>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46" ht="15" x14ac:dyDescent="0.25">
      <c r="A3" s="2"/>
      <c r="B3" s="2"/>
      <c r="C3" s="2"/>
      <c r="D3" s="2"/>
      <c r="E3" s="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T3" s="102" t="s">
        <v>121</v>
      </c>
    </row>
    <row r="4" spans="1:46" ht="15" x14ac:dyDescent="0.25">
      <c r="A4" s="2"/>
      <c r="B4" s="2"/>
      <c r="C4" s="2"/>
      <c r="D4" s="2"/>
      <c r="E4" s="2"/>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T4" s="103" t="s">
        <v>122</v>
      </c>
    </row>
    <row r="5" spans="1:46" ht="15" x14ac:dyDescent="0.25">
      <c r="A5" s="2"/>
      <c r="B5" s="2"/>
      <c r="C5" s="2"/>
      <c r="D5" s="2"/>
      <c r="E5" s="2"/>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T5" s="104" t="s">
        <v>123</v>
      </c>
    </row>
    <row r="6" spans="1:46" ht="15" x14ac:dyDescent="0.25">
      <c r="A6" s="2"/>
      <c r="B6" s="2"/>
      <c r="C6" s="2"/>
      <c r="D6" s="2"/>
      <c r="E6" s="2"/>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T6" s="104" t="s">
        <v>124</v>
      </c>
    </row>
    <row r="7" spans="1:46" ht="15" x14ac:dyDescent="0.25">
      <c r="A7" s="2"/>
      <c r="B7" s="2"/>
      <c r="C7" s="2"/>
      <c r="D7" s="2"/>
      <c r="E7" s="2"/>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T7" s="104" t="s">
        <v>125</v>
      </c>
    </row>
    <row r="8" spans="1:46" ht="15" x14ac:dyDescent="0.25">
      <c r="A8" s="2"/>
      <c r="B8" s="2"/>
      <c r="C8" s="2"/>
      <c r="D8" s="2"/>
      <c r="E8" s="2"/>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T8" s="104" t="s">
        <v>126</v>
      </c>
    </row>
    <row r="9" spans="1:46" ht="15.75" thickBot="1" x14ac:dyDescent="0.3">
      <c r="A9" s="2"/>
      <c r="B9" s="2"/>
      <c r="C9" s="2"/>
      <c r="D9" s="2"/>
      <c r="E9" s="2"/>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T9" s="104" t="s">
        <v>127</v>
      </c>
    </row>
    <row r="10" spans="1:46" ht="36" x14ac:dyDescent="0.55000000000000004">
      <c r="A10" s="2"/>
      <c r="B10" s="2"/>
      <c r="C10" s="2"/>
      <c r="D10" s="2"/>
      <c r="E10" s="2"/>
      <c r="G10" s="115" t="s">
        <v>101</v>
      </c>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7"/>
    </row>
    <row r="11" spans="1:46" ht="34.5" x14ac:dyDescent="0.55000000000000004">
      <c r="A11" s="2"/>
      <c r="B11" s="2"/>
      <c r="C11" s="2"/>
      <c r="D11" s="2"/>
      <c r="E11" s="2"/>
      <c r="G11" s="118" t="s">
        <v>90</v>
      </c>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20"/>
    </row>
    <row r="12" spans="1:46" ht="34.5" x14ac:dyDescent="0.55000000000000004">
      <c r="A12" s="2"/>
      <c r="B12" s="2"/>
      <c r="C12" s="2"/>
      <c r="D12" s="2"/>
      <c r="E12" s="2"/>
      <c r="G12" s="118" t="s">
        <v>91</v>
      </c>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20"/>
    </row>
    <row r="13" spans="1:46" ht="34.5" x14ac:dyDescent="0.55000000000000004">
      <c r="A13" s="2"/>
      <c r="B13" s="2"/>
      <c r="C13" s="2"/>
      <c r="D13" s="2"/>
      <c r="E13" s="2"/>
      <c r="G13" s="118" t="s">
        <v>92</v>
      </c>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20"/>
    </row>
    <row r="14" spans="1:46" ht="35.25" thickBot="1" x14ac:dyDescent="0.6">
      <c r="A14" s="2"/>
      <c r="B14" s="2"/>
      <c r="C14" s="2"/>
      <c r="D14" s="2"/>
      <c r="E14" s="2"/>
      <c r="G14" s="121" t="s">
        <v>93</v>
      </c>
      <c r="H14" s="122"/>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3"/>
    </row>
    <row r="15" spans="1:46" x14ac:dyDescent="0.4">
      <c r="A15" s="2"/>
      <c r="B15" s="2"/>
      <c r="C15" s="2"/>
      <c r="D15" s="2"/>
      <c r="E15" s="2"/>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row>
    <row r="16" spans="1:46" x14ac:dyDescent="0.4">
      <c r="A16" s="2"/>
      <c r="B16" s="2"/>
      <c r="C16" s="2"/>
      <c r="D16" s="2"/>
      <c r="E16" s="2"/>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row>
    <row r="17" spans="1:36" x14ac:dyDescent="0.4">
      <c r="A17" s="2"/>
      <c r="B17" s="2"/>
      <c r="C17" s="2"/>
      <c r="D17" s="2"/>
      <c r="E17" s="2"/>
      <c r="G17" s="124" t="s">
        <v>102</v>
      </c>
      <c r="H17" s="124"/>
      <c r="I17" s="124"/>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row>
    <row r="18" spans="1:36" x14ac:dyDescent="0.4">
      <c r="A18" s="2"/>
      <c r="B18" s="2"/>
      <c r="C18" s="2"/>
      <c r="D18" s="2"/>
      <c r="E18" s="2"/>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spans="1:36" x14ac:dyDescent="0.4">
      <c r="A19" s="2"/>
      <c r="B19" s="2"/>
      <c r="C19" s="2"/>
      <c r="D19" s="2"/>
      <c r="E19" s="2"/>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row>
    <row r="20" spans="1:36" ht="28.5" x14ac:dyDescent="0.45">
      <c r="A20" s="2"/>
      <c r="B20" s="2"/>
      <c r="C20" s="2"/>
      <c r="D20" s="2"/>
      <c r="E20" s="2"/>
      <c r="G20" s="125" t="s">
        <v>81</v>
      </c>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7"/>
    </row>
    <row r="21" spans="1:36" x14ac:dyDescent="0.4">
      <c r="A21" s="2"/>
      <c r="B21" s="2"/>
      <c r="C21" s="2"/>
      <c r="D21" s="2"/>
      <c r="E21" s="2"/>
      <c r="G21" s="128" t="s">
        <v>89</v>
      </c>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30"/>
    </row>
    <row r="22" spans="1:36" x14ac:dyDescent="0.4">
      <c r="A22" s="2"/>
      <c r="B22" s="2"/>
      <c r="C22" s="2"/>
      <c r="D22" s="2"/>
      <c r="E22" s="2"/>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row>
    <row r="23" spans="1:36" x14ac:dyDescent="0.4">
      <c r="A23" s="2"/>
      <c r="B23" s="2"/>
      <c r="C23" s="2"/>
      <c r="D23" s="2"/>
      <c r="E23" s="2"/>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row>
    <row r="24" spans="1:36" ht="28.5" x14ac:dyDescent="0.45">
      <c r="A24" s="2"/>
      <c r="B24" s="2"/>
      <c r="C24" s="2"/>
      <c r="D24" s="2"/>
      <c r="E24" s="2"/>
      <c r="G24" s="125" t="s">
        <v>82</v>
      </c>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7"/>
    </row>
    <row r="25" spans="1:36" x14ac:dyDescent="0.4">
      <c r="A25" s="2"/>
      <c r="B25" s="2"/>
      <c r="C25" s="2"/>
      <c r="D25" s="2"/>
      <c r="E25" s="2"/>
      <c r="G25" s="131" t="s">
        <v>83</v>
      </c>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33"/>
    </row>
    <row r="26" spans="1:36" x14ac:dyDescent="0.4">
      <c r="A26" s="2"/>
      <c r="B26" s="2"/>
      <c r="C26" s="2"/>
      <c r="D26" s="2"/>
      <c r="E26" s="2"/>
      <c r="G26" s="131"/>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3"/>
    </row>
    <row r="27" spans="1:36" x14ac:dyDescent="0.4">
      <c r="A27" s="2"/>
      <c r="B27" s="2"/>
      <c r="C27" s="2"/>
      <c r="D27" s="2"/>
      <c r="E27" s="2"/>
      <c r="G27" s="131" t="s">
        <v>103</v>
      </c>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3"/>
    </row>
    <row r="28" spans="1:36" x14ac:dyDescent="0.4">
      <c r="A28" s="2"/>
      <c r="B28" s="2"/>
      <c r="C28" s="2"/>
      <c r="D28" s="2"/>
      <c r="E28" s="2"/>
      <c r="G28" s="131"/>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H28" s="132"/>
      <c r="AI28" s="132"/>
      <c r="AJ28" s="133"/>
    </row>
    <row r="29" spans="1:36" x14ac:dyDescent="0.4">
      <c r="A29" s="2"/>
      <c r="B29" s="2"/>
      <c r="C29" s="2"/>
      <c r="D29" s="2"/>
      <c r="E29" s="2"/>
      <c r="G29" s="134" t="s">
        <v>104</v>
      </c>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6"/>
    </row>
    <row r="30" spans="1:36" x14ac:dyDescent="0.4">
      <c r="A30" s="2"/>
      <c r="B30" s="2"/>
      <c r="C30" s="2"/>
      <c r="D30" s="2"/>
      <c r="E30" s="2"/>
      <c r="G30" s="131" t="s">
        <v>142</v>
      </c>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132"/>
      <c r="AH30" s="132"/>
      <c r="AI30" s="132"/>
      <c r="AJ30" s="133"/>
    </row>
    <row r="31" spans="1:36" x14ac:dyDescent="0.4">
      <c r="A31" s="2"/>
      <c r="B31" s="2"/>
      <c r="C31" s="2"/>
      <c r="D31" s="2"/>
      <c r="E31" s="2"/>
      <c r="G31" s="131" t="s">
        <v>143</v>
      </c>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3"/>
    </row>
    <row r="32" spans="1:36" x14ac:dyDescent="0.4">
      <c r="A32" s="2"/>
      <c r="B32" s="2"/>
      <c r="C32" s="2"/>
      <c r="D32" s="2"/>
      <c r="E32" s="2"/>
      <c r="G32" s="131" t="s">
        <v>144</v>
      </c>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3"/>
    </row>
    <row r="33" spans="1:37" x14ac:dyDescent="0.4">
      <c r="A33" s="2"/>
      <c r="B33" s="2"/>
      <c r="C33" s="2"/>
      <c r="D33" s="2"/>
      <c r="E33" s="2"/>
      <c r="G33" s="128"/>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30"/>
    </row>
    <row r="34" spans="1:37" x14ac:dyDescent="0.4">
      <c r="A34" s="2"/>
      <c r="B34" s="2"/>
      <c r="C34" s="2"/>
      <c r="D34" s="2"/>
      <c r="E34" s="2"/>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row>
    <row r="35" spans="1:37" x14ac:dyDescent="0.4">
      <c r="A35" s="2"/>
      <c r="B35" s="2"/>
      <c r="C35" s="2"/>
      <c r="D35" s="2"/>
      <c r="E35" s="2"/>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row>
    <row r="36" spans="1:37" ht="28.5" x14ac:dyDescent="0.45">
      <c r="A36" s="2"/>
      <c r="B36" s="2"/>
      <c r="C36" s="2"/>
      <c r="D36" s="2"/>
      <c r="E36" s="2"/>
      <c r="G36" s="125" t="s">
        <v>84</v>
      </c>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7"/>
    </row>
    <row r="37" spans="1:37" x14ac:dyDescent="0.4">
      <c r="A37" s="2"/>
      <c r="B37" s="2"/>
      <c r="C37" s="2"/>
      <c r="D37" s="2"/>
      <c r="E37" s="2"/>
      <c r="G37" s="128" t="s">
        <v>85</v>
      </c>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29"/>
      <c r="AI37" s="129"/>
      <c r="AJ37" s="130"/>
    </row>
    <row r="38" spans="1:37" x14ac:dyDescent="0.4">
      <c r="A38" s="2"/>
      <c r="B38" s="2"/>
      <c r="C38" s="2"/>
      <c r="D38" s="2"/>
      <c r="E38" s="2"/>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row>
    <row r="39" spans="1:37" x14ac:dyDescent="0.4">
      <c r="A39" s="2"/>
      <c r="B39" s="2"/>
      <c r="C39" s="2"/>
      <c r="D39" s="2"/>
      <c r="E39" s="2"/>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4"/>
      <c r="AE39" s="114"/>
      <c r="AF39" s="114"/>
      <c r="AG39" s="114"/>
      <c r="AH39" s="114"/>
      <c r="AI39" s="114"/>
      <c r="AJ39" s="114"/>
    </row>
    <row r="40" spans="1:37" ht="28.5" x14ac:dyDescent="0.45">
      <c r="A40" s="2"/>
      <c r="B40" s="2"/>
      <c r="C40" s="2"/>
      <c r="D40" s="2"/>
      <c r="E40" s="2"/>
      <c r="G40" s="125" t="s">
        <v>86</v>
      </c>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7"/>
    </row>
    <row r="41" spans="1:37" x14ac:dyDescent="0.4">
      <c r="A41" s="2"/>
      <c r="B41" s="2"/>
      <c r="C41" s="2"/>
      <c r="D41" s="2"/>
      <c r="E41" s="2"/>
      <c r="G41" s="128" t="s">
        <v>87</v>
      </c>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30"/>
    </row>
    <row r="42" spans="1:37" x14ac:dyDescent="0.4">
      <c r="A42" s="2"/>
      <c r="B42" s="2"/>
      <c r="C42" s="2"/>
      <c r="D42" s="2"/>
      <c r="E42" s="2"/>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row>
    <row r="43" spans="1:37" x14ac:dyDescent="0.4">
      <c r="A43" s="2"/>
      <c r="B43" s="2"/>
      <c r="C43" s="2"/>
      <c r="D43" s="2"/>
      <c r="E43" s="2"/>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c r="AD43" s="114"/>
      <c r="AE43" s="114"/>
      <c r="AF43" s="114"/>
      <c r="AG43" s="114"/>
      <c r="AH43" s="114"/>
      <c r="AI43" s="114"/>
      <c r="AJ43" s="114"/>
    </row>
    <row r="44" spans="1:37" ht="34.5" x14ac:dyDescent="0.55000000000000004">
      <c r="A44" s="2"/>
      <c r="B44" s="2"/>
      <c r="C44" s="2"/>
      <c r="D44" s="2"/>
      <c r="E44" s="2"/>
      <c r="G44" s="140" t="s">
        <v>88</v>
      </c>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2"/>
      <c r="AK44" s="7"/>
    </row>
    <row r="45" spans="1:37" x14ac:dyDescent="0.4">
      <c r="A45" s="2"/>
      <c r="B45" s="2"/>
      <c r="C45" s="2"/>
      <c r="D45" s="2"/>
      <c r="E45" s="2"/>
      <c r="G45" s="131" t="s">
        <v>96</v>
      </c>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c r="AH45" s="132"/>
      <c r="AI45" s="132"/>
      <c r="AJ45" s="133"/>
      <c r="AK45" s="7"/>
    </row>
    <row r="46" spans="1:37" x14ac:dyDescent="0.4">
      <c r="A46" s="2"/>
      <c r="B46" s="2"/>
      <c r="C46" s="2"/>
      <c r="D46" s="2"/>
      <c r="E46" s="2"/>
      <c r="G46" s="131" t="s">
        <v>94</v>
      </c>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2"/>
      <c r="AI46" s="132"/>
      <c r="AJ46" s="133"/>
      <c r="AK46" s="7"/>
    </row>
    <row r="47" spans="1:37" x14ac:dyDescent="0.4">
      <c r="A47" s="2"/>
      <c r="B47" s="2"/>
      <c r="C47" s="2"/>
      <c r="D47" s="2"/>
      <c r="E47" s="2"/>
      <c r="G47" s="131" t="s">
        <v>95</v>
      </c>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2"/>
      <c r="AI47" s="132"/>
      <c r="AJ47" s="133"/>
      <c r="AK47" s="7"/>
    </row>
    <row r="48" spans="1:37" x14ac:dyDescent="0.4">
      <c r="A48" s="2"/>
      <c r="B48" s="2"/>
      <c r="C48" s="2"/>
      <c r="D48" s="2"/>
      <c r="E48" s="2"/>
      <c r="G48" s="146"/>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8"/>
      <c r="AK48" s="19"/>
    </row>
    <row r="49" spans="1:46" s="7" customFormat="1" x14ac:dyDescent="0.4">
      <c r="A49" s="15"/>
      <c r="B49" s="15"/>
      <c r="C49" s="15"/>
      <c r="D49" s="15"/>
      <c r="E49" s="15"/>
      <c r="G49" s="143" t="s">
        <v>97</v>
      </c>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5"/>
      <c r="AT49" s="101"/>
    </row>
    <row r="50" spans="1:46" s="7" customFormat="1" x14ac:dyDescent="0.4">
      <c r="A50" s="15"/>
      <c r="B50" s="15"/>
      <c r="C50" s="15"/>
      <c r="D50" s="15"/>
      <c r="E50" s="15"/>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T50" s="101"/>
    </row>
    <row r="51" spans="1:46" x14ac:dyDescent="0.4">
      <c r="A51" s="2"/>
      <c r="B51" s="2"/>
      <c r="C51" s="2"/>
      <c r="D51" s="2"/>
      <c r="E51" s="2"/>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row>
    <row r="52" spans="1:46" ht="31.5" x14ac:dyDescent="0.5">
      <c r="A52" s="2"/>
      <c r="B52" s="2"/>
      <c r="C52" s="2"/>
      <c r="D52" s="2"/>
      <c r="E52" s="2"/>
      <c r="G52" s="137" t="s">
        <v>98</v>
      </c>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9"/>
    </row>
    <row r="53" spans="1:46" x14ac:dyDescent="0.4">
      <c r="A53" s="2"/>
      <c r="B53" s="2"/>
      <c r="C53" s="2"/>
      <c r="D53" s="2"/>
      <c r="E53" s="2"/>
      <c r="G53" s="131" t="s">
        <v>105</v>
      </c>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3"/>
    </row>
    <row r="54" spans="1:46" x14ac:dyDescent="0.4">
      <c r="A54" s="2"/>
      <c r="B54" s="2"/>
      <c r="C54" s="2"/>
      <c r="D54" s="2"/>
      <c r="E54" s="2"/>
      <c r="G54" s="128" t="s">
        <v>99</v>
      </c>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30"/>
    </row>
    <row r="55" spans="1:46" x14ac:dyDescent="0.4">
      <c r="A55" s="2"/>
      <c r="B55" s="2"/>
      <c r="C55" s="2"/>
      <c r="D55" s="2"/>
      <c r="E55" s="2"/>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row>
    <row r="56" spans="1:46" x14ac:dyDescent="0.4">
      <c r="A56" s="2"/>
      <c r="B56" s="2"/>
      <c r="C56" s="2"/>
      <c r="D56" s="2"/>
      <c r="E56" s="2"/>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4"/>
      <c r="AF56" s="114"/>
      <c r="AG56" s="114"/>
      <c r="AH56" s="114"/>
      <c r="AI56" s="114"/>
      <c r="AJ56" s="114"/>
    </row>
    <row r="57" spans="1:46" ht="31.5" x14ac:dyDescent="0.5">
      <c r="A57" s="2"/>
      <c r="B57" s="2"/>
      <c r="C57" s="2"/>
      <c r="D57" s="2"/>
      <c r="E57" s="2"/>
      <c r="G57" s="137" t="s">
        <v>100</v>
      </c>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9"/>
    </row>
    <row r="58" spans="1:46" x14ac:dyDescent="0.4">
      <c r="A58" s="2"/>
      <c r="B58" s="2"/>
      <c r="C58" s="2"/>
      <c r="D58" s="2"/>
      <c r="E58" s="2"/>
      <c r="G58" s="131" t="s">
        <v>106</v>
      </c>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c r="AG58" s="132"/>
      <c r="AH58" s="132"/>
      <c r="AI58" s="132"/>
      <c r="AJ58" s="133"/>
    </row>
    <row r="59" spans="1:46" x14ac:dyDescent="0.4">
      <c r="A59" s="2"/>
      <c r="B59" s="2"/>
      <c r="C59" s="2"/>
      <c r="D59" s="2"/>
      <c r="E59" s="2"/>
      <c r="G59" s="131" t="s">
        <v>107</v>
      </c>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132"/>
      <c r="AG59" s="132"/>
      <c r="AH59" s="132"/>
      <c r="AI59" s="132"/>
      <c r="AJ59" s="133"/>
    </row>
    <row r="60" spans="1:46" x14ac:dyDescent="0.4">
      <c r="A60" s="2"/>
      <c r="B60" s="2"/>
      <c r="C60" s="2"/>
      <c r="D60" s="2"/>
      <c r="E60" s="2"/>
      <c r="G60" s="131" t="s">
        <v>108</v>
      </c>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132"/>
      <c r="AH60" s="132"/>
      <c r="AI60" s="132"/>
      <c r="AJ60" s="133"/>
    </row>
    <row r="61" spans="1:46" x14ac:dyDescent="0.4">
      <c r="A61" s="2"/>
      <c r="B61" s="2"/>
      <c r="C61" s="2"/>
      <c r="D61" s="2"/>
      <c r="E61" s="2"/>
      <c r="G61" s="131"/>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3"/>
    </row>
    <row r="62" spans="1:46" x14ac:dyDescent="0.4">
      <c r="A62" s="2"/>
      <c r="B62" s="2"/>
      <c r="C62" s="2"/>
      <c r="D62" s="2"/>
      <c r="E62" s="2"/>
      <c r="G62" s="131"/>
      <c r="H62" s="132"/>
      <c r="I62" s="132"/>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132"/>
      <c r="AH62" s="132"/>
      <c r="AI62" s="132"/>
      <c r="AJ62" s="133"/>
    </row>
    <row r="63" spans="1:46" x14ac:dyDescent="0.4">
      <c r="A63" s="2"/>
      <c r="B63" s="2"/>
      <c r="C63" s="2"/>
      <c r="D63" s="2"/>
      <c r="E63" s="2"/>
      <c r="G63" s="131"/>
      <c r="H63" s="132"/>
      <c r="I63" s="132"/>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3"/>
    </row>
    <row r="64" spans="1:46" x14ac:dyDescent="0.4">
      <c r="A64" s="2"/>
      <c r="B64" s="2"/>
      <c r="C64" s="2"/>
      <c r="D64" s="2"/>
      <c r="E64" s="2"/>
      <c r="G64" s="131"/>
      <c r="H64" s="132"/>
      <c r="I64" s="132"/>
      <c r="J64" s="132"/>
      <c r="K64" s="132"/>
      <c r="L64" s="132"/>
      <c r="M64" s="132"/>
      <c r="N64" s="132"/>
      <c r="O64" s="132"/>
      <c r="P64" s="132"/>
      <c r="Q64" s="132"/>
      <c r="R64" s="132"/>
      <c r="S64" s="132"/>
      <c r="T64" s="132"/>
      <c r="U64" s="132"/>
      <c r="V64" s="132"/>
      <c r="W64" s="132"/>
      <c r="X64" s="132"/>
      <c r="Y64" s="132"/>
      <c r="Z64" s="132"/>
      <c r="AA64" s="132"/>
      <c r="AB64" s="132"/>
      <c r="AC64" s="132"/>
      <c r="AD64" s="132"/>
      <c r="AE64" s="132"/>
      <c r="AF64" s="132"/>
      <c r="AG64" s="132"/>
      <c r="AH64" s="132"/>
      <c r="AI64" s="132"/>
      <c r="AJ64" s="133"/>
    </row>
    <row r="65" spans="1:36" x14ac:dyDescent="0.4">
      <c r="A65" s="2"/>
      <c r="B65" s="2"/>
      <c r="C65" s="2"/>
      <c r="D65" s="2"/>
      <c r="E65" s="2"/>
      <c r="G65" s="131"/>
      <c r="H65" s="132"/>
      <c r="I65" s="132"/>
      <c r="J65" s="132"/>
      <c r="K65" s="132"/>
      <c r="L65" s="132"/>
      <c r="M65" s="132"/>
      <c r="N65" s="132"/>
      <c r="O65" s="132"/>
      <c r="P65" s="132"/>
      <c r="Q65" s="132"/>
      <c r="R65" s="132"/>
      <c r="S65" s="132"/>
      <c r="T65" s="132"/>
      <c r="U65" s="132"/>
      <c r="V65" s="132"/>
      <c r="W65" s="132"/>
      <c r="X65" s="132"/>
      <c r="Y65" s="132"/>
      <c r="Z65" s="132"/>
      <c r="AA65" s="132"/>
      <c r="AB65" s="132"/>
      <c r="AC65" s="132"/>
      <c r="AD65" s="132"/>
      <c r="AE65" s="132"/>
      <c r="AF65" s="132"/>
      <c r="AG65" s="132"/>
      <c r="AH65" s="132"/>
      <c r="AI65" s="132"/>
      <c r="AJ65" s="133"/>
    </row>
    <row r="66" spans="1:36" x14ac:dyDescent="0.4">
      <c r="A66" s="2"/>
      <c r="B66" s="2"/>
      <c r="C66" s="2"/>
      <c r="D66" s="2"/>
      <c r="E66" s="2"/>
      <c r="G66" s="131"/>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32"/>
      <c r="AI66" s="132"/>
      <c r="AJ66" s="133"/>
    </row>
    <row r="67" spans="1:36" x14ac:dyDescent="0.4">
      <c r="A67" s="2"/>
      <c r="B67" s="2"/>
      <c r="C67" s="2"/>
      <c r="D67" s="2"/>
      <c r="E67" s="2"/>
      <c r="G67" s="131"/>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c r="AJ67" s="133"/>
    </row>
    <row r="68" spans="1:36" x14ac:dyDescent="0.4">
      <c r="A68" s="2"/>
      <c r="B68" s="2"/>
      <c r="C68" s="2"/>
      <c r="D68" s="2"/>
      <c r="E68" s="2"/>
      <c r="G68" s="131"/>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c r="AJ68" s="133"/>
    </row>
    <row r="69" spans="1:36" x14ac:dyDescent="0.4">
      <c r="A69" s="2"/>
      <c r="B69" s="2"/>
      <c r="C69" s="2"/>
      <c r="D69" s="2"/>
      <c r="E69" s="2"/>
      <c r="G69" s="131"/>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3"/>
    </row>
    <row r="70" spans="1:36" x14ac:dyDescent="0.4">
      <c r="A70" s="2"/>
      <c r="B70" s="2"/>
      <c r="C70" s="2"/>
      <c r="D70" s="2"/>
      <c r="E70" s="2"/>
      <c r="G70" s="131"/>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c r="AJ70" s="133"/>
    </row>
    <row r="71" spans="1:36" x14ac:dyDescent="0.4">
      <c r="A71" s="2"/>
      <c r="B71" s="2"/>
      <c r="C71" s="2"/>
      <c r="D71" s="2"/>
      <c r="E71" s="2"/>
      <c r="G71" s="131"/>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3"/>
    </row>
    <row r="72" spans="1:36" x14ac:dyDescent="0.4">
      <c r="A72" s="2"/>
      <c r="B72" s="2"/>
      <c r="C72" s="2"/>
      <c r="D72" s="2"/>
      <c r="E72" s="2"/>
      <c r="G72" s="131"/>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3"/>
    </row>
    <row r="73" spans="1:36" x14ac:dyDescent="0.4">
      <c r="A73" s="2"/>
      <c r="B73" s="2"/>
      <c r="C73" s="2"/>
      <c r="D73" s="2"/>
      <c r="E73" s="2"/>
      <c r="G73" s="128"/>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c r="AG73" s="129"/>
      <c r="AH73" s="129"/>
      <c r="AI73" s="129"/>
      <c r="AJ73" s="130"/>
    </row>
    <row r="74" spans="1:36" x14ac:dyDescent="0.4">
      <c r="A74" s="2"/>
      <c r="B74" s="2"/>
      <c r="C74" s="2"/>
      <c r="D74" s="2"/>
      <c r="E74" s="2"/>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row>
    <row r="75" spans="1:36" x14ac:dyDescent="0.4">
      <c r="A75" s="2"/>
      <c r="B75" s="2"/>
      <c r="C75" s="2"/>
      <c r="D75" s="2"/>
      <c r="E75" s="2"/>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row>
    <row r="76" spans="1:36" x14ac:dyDescent="0.4">
      <c r="A76" s="2"/>
      <c r="B76" s="2"/>
      <c r="C76" s="2"/>
      <c r="D76" s="2"/>
      <c r="E76" s="2"/>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row>
    <row r="77" spans="1:36" x14ac:dyDescent="0.4">
      <c r="A77" s="2"/>
      <c r="B77" s="2"/>
      <c r="C77" s="2"/>
      <c r="D77" s="2"/>
      <c r="E77" s="2"/>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4"/>
      <c r="AE77" s="114"/>
      <c r="AF77" s="114"/>
      <c r="AG77" s="114"/>
      <c r="AH77" s="114"/>
      <c r="AI77" s="114"/>
      <c r="AJ77" s="114"/>
    </row>
    <row r="78" spans="1:36" x14ac:dyDescent="0.4">
      <c r="A78" s="2"/>
      <c r="B78" s="2"/>
      <c r="C78" s="2"/>
      <c r="D78" s="2"/>
      <c r="E78" s="2"/>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row>
    <row r="79" spans="1:36" x14ac:dyDescent="0.4">
      <c r="A79" s="2"/>
      <c r="B79" s="2"/>
      <c r="C79" s="2"/>
      <c r="D79" s="2"/>
      <c r="E79" s="2"/>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row>
    <row r="80" spans="1:36" x14ac:dyDescent="0.4">
      <c r="A80" s="2"/>
      <c r="B80" s="2"/>
      <c r="C80" s="2"/>
      <c r="D80" s="2"/>
      <c r="E80" s="2"/>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row>
    <row r="81" spans="1:36" x14ac:dyDescent="0.4">
      <c r="A81" s="2"/>
      <c r="B81" s="2"/>
      <c r="C81" s="2"/>
      <c r="D81" s="2"/>
      <c r="E81" s="2"/>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row>
    <row r="82" spans="1:36" x14ac:dyDescent="0.4">
      <c r="A82" s="2"/>
      <c r="B82" s="2"/>
      <c r="C82" s="2"/>
      <c r="D82" s="2"/>
      <c r="E82" s="2"/>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row>
  </sheetData>
  <sheetProtection algorithmName="SHA-512" hashValue="Nd/7uZ5OYGOrwPguW2hVjmIAZFCwrN5xEajw3xqaaasQJB57BfxCi7M3KC6wQ0PE4aY4OSHTRbxpfxNvo6QGpQ==" saltValue="dtwCkPp71yXXYme5WSjMjQ==" spinCount="100000" sheet="1" objects="1" scenarios="1"/>
  <mergeCells count="67">
    <mergeCell ref="G31:AJ31"/>
    <mergeCell ref="G28:AJ28"/>
    <mergeCell ref="G32:AJ32"/>
    <mergeCell ref="G33:AJ33"/>
    <mergeCell ref="G34:AJ34"/>
    <mergeCell ref="G78:AJ78"/>
    <mergeCell ref="G79:AJ79"/>
    <mergeCell ref="G80:AJ80"/>
    <mergeCell ref="G81:AJ81"/>
    <mergeCell ref="G82:AJ82"/>
    <mergeCell ref="G77:AJ77"/>
    <mergeCell ref="G66:AJ66"/>
    <mergeCell ref="G67:AJ67"/>
    <mergeCell ref="G68:AJ68"/>
    <mergeCell ref="G69:AJ69"/>
    <mergeCell ref="G70:AJ70"/>
    <mergeCell ref="G71:AJ71"/>
    <mergeCell ref="G72:AJ72"/>
    <mergeCell ref="G73:AJ73"/>
    <mergeCell ref="G74:AJ74"/>
    <mergeCell ref="G75:AJ75"/>
    <mergeCell ref="G76:AJ76"/>
    <mergeCell ref="G65:AJ65"/>
    <mergeCell ref="G53:AJ53"/>
    <mergeCell ref="G54:AJ54"/>
    <mergeCell ref="G56:AJ56"/>
    <mergeCell ref="G57:AJ57"/>
    <mergeCell ref="G58:AJ58"/>
    <mergeCell ref="G59:AJ59"/>
    <mergeCell ref="G60:AJ60"/>
    <mergeCell ref="G61:AJ61"/>
    <mergeCell ref="G62:AJ62"/>
    <mergeCell ref="G63:AJ63"/>
    <mergeCell ref="G64:AJ64"/>
    <mergeCell ref="G52:AJ52"/>
    <mergeCell ref="G40:AJ40"/>
    <mergeCell ref="G41:AJ41"/>
    <mergeCell ref="G43:AJ43"/>
    <mergeCell ref="G44:AJ44"/>
    <mergeCell ref="G45:AJ45"/>
    <mergeCell ref="G46:AJ46"/>
    <mergeCell ref="G47:AJ47"/>
    <mergeCell ref="G49:AJ49"/>
    <mergeCell ref="G51:AJ51"/>
    <mergeCell ref="G48:AJ48"/>
    <mergeCell ref="G39:AJ39"/>
    <mergeCell ref="G16:AJ16"/>
    <mergeCell ref="G17:AJ17"/>
    <mergeCell ref="G19:AJ19"/>
    <mergeCell ref="G20:AJ20"/>
    <mergeCell ref="G21:AJ21"/>
    <mergeCell ref="G23:AJ23"/>
    <mergeCell ref="G24:AJ24"/>
    <mergeCell ref="G25:AJ25"/>
    <mergeCell ref="G35:AJ35"/>
    <mergeCell ref="G36:AJ36"/>
    <mergeCell ref="G37:AJ37"/>
    <mergeCell ref="G26:AJ26"/>
    <mergeCell ref="G27:AJ27"/>
    <mergeCell ref="G29:AJ29"/>
    <mergeCell ref="G30:AJ30"/>
    <mergeCell ref="G15:AJ15"/>
    <mergeCell ref="G10:AJ10"/>
    <mergeCell ref="G11:AJ11"/>
    <mergeCell ref="G12:AJ12"/>
    <mergeCell ref="G13:AJ13"/>
    <mergeCell ref="G14:AJ14"/>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94DB-C911-4B11-9775-9AD6EF436DA4}">
  <dimension ref="A2:AT268"/>
  <sheetViews>
    <sheetView showGridLines="0" showRowColHeaders="0" zoomScale="81" workbookViewId="0">
      <selection activeCell="N106" sqref="N106"/>
    </sheetView>
  </sheetViews>
  <sheetFormatPr defaultRowHeight="15" x14ac:dyDescent="0.25"/>
  <cols>
    <col min="1" max="1" width="15.42578125" style="13" bestFit="1" customWidth="1"/>
    <col min="2" max="2" width="12.140625" bestFit="1" customWidth="1"/>
    <col min="3" max="3" width="6.7109375" bestFit="1" customWidth="1"/>
    <col min="4" max="4" width="13.85546875" bestFit="1" customWidth="1"/>
    <col min="5" max="5" width="12.140625" bestFit="1" customWidth="1"/>
    <col min="7" max="7" width="20.7109375" bestFit="1" customWidth="1"/>
    <col min="8" max="8" width="17.28515625" bestFit="1" customWidth="1"/>
    <col min="9" max="9" width="5.42578125" bestFit="1" customWidth="1"/>
    <col min="10" max="10" width="11.28515625" bestFit="1" customWidth="1"/>
    <col min="11" max="11" width="13.42578125" bestFit="1" customWidth="1"/>
    <col min="12" max="12" width="13.85546875" bestFit="1" customWidth="1"/>
    <col min="13" max="13" width="17.28515625" bestFit="1" customWidth="1"/>
    <col min="14" max="14" width="11.28515625" bestFit="1" customWidth="1"/>
    <col min="15" max="15" width="5.85546875" bestFit="1" customWidth="1"/>
    <col min="16" max="16" width="6.85546875" bestFit="1" customWidth="1"/>
    <col min="17" max="17" width="13.85546875" bestFit="1" customWidth="1"/>
    <col min="18" max="18" width="17.28515625" bestFit="1" customWidth="1"/>
    <col min="19" max="19" width="11.28515625" bestFit="1" customWidth="1"/>
    <col min="20" max="20" width="13.85546875" bestFit="1" customWidth="1"/>
    <col min="21" max="21" width="17.28515625" bestFit="1" customWidth="1"/>
    <col min="22" max="22" width="13.85546875" bestFit="1" customWidth="1"/>
    <col min="23" max="23" width="12.140625" bestFit="1" customWidth="1"/>
    <col min="24" max="24" width="19" bestFit="1" customWidth="1"/>
    <col min="25" max="25" width="13.85546875" bestFit="1" customWidth="1"/>
    <col min="26" max="26" width="25" bestFit="1" customWidth="1"/>
    <col min="27" max="27" width="10.42578125" bestFit="1" customWidth="1"/>
    <col min="28" max="28" width="22.28515625" bestFit="1" customWidth="1"/>
    <col min="29" max="29" width="13.85546875" bestFit="1" customWidth="1"/>
    <col min="30" max="30" width="24.42578125" bestFit="1" customWidth="1"/>
    <col min="31" max="31" width="13.42578125" bestFit="1" customWidth="1"/>
    <col min="32" max="32" width="21.7109375" bestFit="1" customWidth="1"/>
    <col min="33" max="33" width="4.7109375" bestFit="1" customWidth="1"/>
    <col min="34" max="34" width="28" bestFit="1" customWidth="1"/>
    <col min="35" max="35" width="2" bestFit="1" customWidth="1"/>
    <col min="36" max="36" width="3" bestFit="1" customWidth="1"/>
    <col min="37" max="39" width="4" bestFit="1" customWidth="1"/>
    <col min="40" max="40" width="28.28515625" bestFit="1" customWidth="1"/>
    <col min="41" max="41" width="7.28515625" bestFit="1" customWidth="1"/>
    <col min="42" max="42" width="13.85546875" bestFit="1" customWidth="1"/>
    <col min="43" max="43" width="17.28515625" bestFit="1" customWidth="1"/>
    <col min="44" max="44" width="7.85546875" bestFit="1" customWidth="1"/>
    <col min="45" max="45" width="13.85546875" bestFit="1" customWidth="1"/>
    <col min="46" max="46" width="17.28515625" bestFit="1" customWidth="1"/>
    <col min="47" max="47" width="10.42578125" bestFit="1" customWidth="1"/>
    <col min="48" max="48" width="7.85546875" bestFit="1" customWidth="1"/>
    <col min="49" max="49" width="10.42578125" bestFit="1" customWidth="1"/>
    <col min="50" max="50" width="7.85546875" bestFit="1" customWidth="1"/>
    <col min="51" max="51" width="10.42578125" bestFit="1" customWidth="1"/>
    <col min="52" max="52" width="7.85546875" bestFit="1" customWidth="1"/>
    <col min="53" max="53" width="10.42578125" bestFit="1" customWidth="1"/>
    <col min="54" max="54" width="7.85546875" bestFit="1" customWidth="1"/>
    <col min="55" max="55" width="10.42578125" bestFit="1" customWidth="1"/>
    <col min="56" max="56" width="7.85546875" bestFit="1" customWidth="1"/>
    <col min="58" max="58" width="12.140625" bestFit="1" customWidth="1"/>
    <col min="59" max="59" width="11.28515625" bestFit="1" customWidth="1"/>
  </cols>
  <sheetData>
    <row r="2" spans="1:46" x14ac:dyDescent="0.25">
      <c r="A2" s="13" t="s">
        <v>5</v>
      </c>
      <c r="B2" t="s">
        <v>64</v>
      </c>
      <c r="D2" t="s">
        <v>67</v>
      </c>
      <c r="G2" t="s">
        <v>68</v>
      </c>
      <c r="I2" t="s">
        <v>69</v>
      </c>
      <c r="L2" s="5" t="s">
        <v>65</v>
      </c>
      <c r="M2" t="s">
        <v>72</v>
      </c>
      <c r="O2" t="s">
        <v>73</v>
      </c>
      <c r="P2" t="s">
        <v>74</v>
      </c>
      <c r="S2" t="s">
        <v>110</v>
      </c>
      <c r="W2" t="s">
        <v>111</v>
      </c>
      <c r="Z2" t="s">
        <v>112</v>
      </c>
      <c r="AB2" t="s">
        <v>113</v>
      </c>
      <c r="AD2" t="s">
        <v>114</v>
      </c>
      <c r="AF2" t="s">
        <v>115</v>
      </c>
      <c r="AH2" t="s">
        <v>116</v>
      </c>
      <c r="AN2" t="s">
        <v>120</v>
      </c>
      <c r="AS2" s="5" t="s">
        <v>65</v>
      </c>
      <c r="AT2" t="s">
        <v>71</v>
      </c>
    </row>
    <row r="3" spans="1:46" x14ac:dyDescent="0.25">
      <c r="B3" s="6">
        <v>9000</v>
      </c>
      <c r="D3" s="9">
        <v>11605</v>
      </c>
      <c r="G3" s="9">
        <v>2605</v>
      </c>
      <c r="I3" s="8">
        <v>0.28944444444444445</v>
      </c>
      <c r="L3" s="11" t="s">
        <v>51</v>
      </c>
      <c r="M3" s="4">
        <v>54</v>
      </c>
      <c r="O3" s="4">
        <v>8825</v>
      </c>
      <c r="P3" s="4">
        <v>11430</v>
      </c>
      <c r="S3" s="4">
        <v>120</v>
      </c>
      <c r="W3" s="4">
        <v>66</v>
      </c>
      <c r="Z3" s="4">
        <v>54</v>
      </c>
      <c r="AB3" s="12">
        <v>1.2951841359773371</v>
      </c>
      <c r="AD3" s="21">
        <v>173.18181818181819</v>
      </c>
      <c r="AF3" s="21">
        <v>163.42592592592592</v>
      </c>
      <c r="AH3" s="22">
        <v>1.3993055555555555E-2</v>
      </c>
      <c r="AN3" s="12">
        <v>3.45</v>
      </c>
      <c r="AS3" s="10">
        <v>45383</v>
      </c>
      <c r="AT3" s="4">
        <v>10225</v>
      </c>
    </row>
    <row r="4" spans="1:46" x14ac:dyDescent="0.25">
      <c r="L4" s="11" t="s">
        <v>43</v>
      </c>
      <c r="M4" s="4">
        <v>66</v>
      </c>
      <c r="AS4" s="10">
        <v>45384</v>
      </c>
      <c r="AT4" s="4">
        <v>10395</v>
      </c>
    </row>
    <row r="5" spans="1:46" x14ac:dyDescent="0.25">
      <c r="L5" s="11" t="s">
        <v>66</v>
      </c>
      <c r="M5" s="4">
        <v>120</v>
      </c>
      <c r="AS5" s="10">
        <v>45385</v>
      </c>
      <c r="AT5" s="4">
        <v>10575</v>
      </c>
    </row>
    <row r="6" spans="1:46" x14ac:dyDescent="0.25">
      <c r="AS6" s="10">
        <v>45386</v>
      </c>
      <c r="AT6" s="4">
        <v>10735</v>
      </c>
    </row>
    <row r="7" spans="1:46" x14ac:dyDescent="0.25">
      <c r="AS7" s="10">
        <v>45387</v>
      </c>
      <c r="AT7" s="4">
        <v>10885</v>
      </c>
    </row>
    <row r="8" spans="1:46" x14ac:dyDescent="0.25">
      <c r="AS8" s="10">
        <v>45390</v>
      </c>
      <c r="AT8" s="4">
        <v>10715</v>
      </c>
    </row>
    <row r="9" spans="1:46" x14ac:dyDescent="0.25">
      <c r="AS9" s="10">
        <v>45391</v>
      </c>
      <c r="AT9" s="4">
        <v>10865</v>
      </c>
    </row>
    <row r="10" spans="1:46" x14ac:dyDescent="0.25">
      <c r="AS10" s="10">
        <v>45392</v>
      </c>
      <c r="AT10" s="4">
        <v>10705</v>
      </c>
    </row>
    <row r="11" spans="1:46" x14ac:dyDescent="0.25">
      <c r="AS11" s="10">
        <v>45393</v>
      </c>
      <c r="AT11" s="4">
        <v>10875</v>
      </c>
    </row>
    <row r="12" spans="1:46" x14ac:dyDescent="0.25">
      <c r="AS12" s="10">
        <v>45394</v>
      </c>
      <c r="AT12" s="4">
        <v>10715</v>
      </c>
    </row>
    <row r="13" spans="1:46" x14ac:dyDescent="0.25">
      <c r="AS13" s="10">
        <v>45397</v>
      </c>
      <c r="AT13" s="4">
        <v>10885</v>
      </c>
    </row>
    <row r="14" spans="1:46" x14ac:dyDescent="0.25">
      <c r="AS14" s="10">
        <v>45398</v>
      </c>
      <c r="AT14" s="4">
        <v>11065</v>
      </c>
    </row>
    <row r="15" spans="1:46" x14ac:dyDescent="0.25">
      <c r="AS15" s="10">
        <v>45399</v>
      </c>
      <c r="AT15" s="4">
        <v>10915</v>
      </c>
    </row>
    <row r="16" spans="1:46" x14ac:dyDescent="0.25">
      <c r="AS16" s="10">
        <v>45400</v>
      </c>
      <c r="AT16" s="4">
        <v>11075</v>
      </c>
    </row>
    <row r="17" spans="45:46" x14ac:dyDescent="0.25">
      <c r="AS17" s="10">
        <v>45401</v>
      </c>
      <c r="AT17" s="4">
        <v>10905</v>
      </c>
    </row>
    <row r="18" spans="45:46" x14ac:dyDescent="0.25">
      <c r="AS18" s="10">
        <v>45404</v>
      </c>
      <c r="AT18" s="4">
        <v>10755</v>
      </c>
    </row>
    <row r="19" spans="45:46" x14ac:dyDescent="0.25">
      <c r="AS19" s="10">
        <v>45405</v>
      </c>
      <c r="AT19" s="4">
        <v>10915</v>
      </c>
    </row>
    <row r="20" spans="45:46" x14ac:dyDescent="0.25">
      <c r="AS20" s="10">
        <v>45406</v>
      </c>
      <c r="AT20" s="4">
        <v>10745</v>
      </c>
    </row>
    <row r="21" spans="45:46" x14ac:dyDescent="0.25">
      <c r="AS21" s="10">
        <v>45407</v>
      </c>
      <c r="AT21" s="4">
        <v>10895</v>
      </c>
    </row>
    <row r="22" spans="45:46" x14ac:dyDescent="0.25">
      <c r="AS22" s="10">
        <v>45408</v>
      </c>
      <c r="AT22" s="4">
        <v>10725</v>
      </c>
    </row>
    <row r="23" spans="45:46" x14ac:dyDescent="0.25">
      <c r="AS23" s="10">
        <v>45411</v>
      </c>
      <c r="AT23" s="4">
        <v>10565</v>
      </c>
    </row>
    <row r="24" spans="45:46" x14ac:dyDescent="0.25">
      <c r="AS24" s="10">
        <v>45412</v>
      </c>
      <c r="AT24" s="4">
        <v>10385</v>
      </c>
    </row>
    <row r="25" spans="45:46" x14ac:dyDescent="0.25">
      <c r="AS25" s="11" t="s">
        <v>66</v>
      </c>
      <c r="AT25" s="4">
        <v>236520</v>
      </c>
    </row>
    <row r="93" spans="1:26" x14ac:dyDescent="0.25">
      <c r="A93" s="13" t="s">
        <v>80</v>
      </c>
      <c r="B93" t="s">
        <v>72</v>
      </c>
      <c r="D93" s="5" t="s">
        <v>65</v>
      </c>
      <c r="E93" t="s">
        <v>72</v>
      </c>
      <c r="G93" s="5" t="s">
        <v>76</v>
      </c>
      <c r="H93" s="5" t="s">
        <v>75</v>
      </c>
      <c r="L93" s="5" t="s">
        <v>72</v>
      </c>
      <c r="M93" s="5" t="s">
        <v>75</v>
      </c>
      <c r="Q93" s="5" t="s">
        <v>65</v>
      </c>
      <c r="R93" t="s">
        <v>72</v>
      </c>
      <c r="T93" s="5" t="s">
        <v>72</v>
      </c>
      <c r="U93" s="5" t="s">
        <v>75</v>
      </c>
      <c r="Y93" s="5" t="s">
        <v>65</v>
      </c>
      <c r="Z93" t="s">
        <v>77</v>
      </c>
    </row>
    <row r="94" spans="1:26" x14ac:dyDescent="0.25">
      <c r="B94" s="4">
        <v>38</v>
      </c>
      <c r="D94" s="11" t="s">
        <v>51</v>
      </c>
      <c r="E94" s="4">
        <v>22</v>
      </c>
      <c r="G94" s="5" t="s">
        <v>65</v>
      </c>
      <c r="H94" t="s">
        <v>51</v>
      </c>
      <c r="I94" t="s">
        <v>43</v>
      </c>
      <c r="J94" t="s">
        <v>66</v>
      </c>
      <c r="L94" s="5" t="s">
        <v>65</v>
      </c>
      <c r="M94" t="s">
        <v>51</v>
      </c>
      <c r="N94" t="s">
        <v>66</v>
      </c>
      <c r="Q94" s="11" t="s">
        <v>51</v>
      </c>
      <c r="R94" s="4">
        <v>22</v>
      </c>
      <c r="T94" s="5" t="s">
        <v>65</v>
      </c>
      <c r="U94" t="s">
        <v>43</v>
      </c>
      <c r="V94" t="s">
        <v>66</v>
      </c>
      <c r="Y94" s="11" t="s">
        <v>43</v>
      </c>
      <c r="Z94" s="12">
        <v>1.8925120772946862</v>
      </c>
    </row>
    <row r="95" spans="1:26" x14ac:dyDescent="0.25">
      <c r="D95" s="11" t="s">
        <v>43</v>
      </c>
      <c r="E95" s="4">
        <v>16</v>
      </c>
      <c r="G95" s="11" t="s">
        <v>132</v>
      </c>
      <c r="H95" s="4">
        <v>3555</v>
      </c>
      <c r="I95" s="4">
        <v>2970</v>
      </c>
      <c r="J95" s="4">
        <v>6525</v>
      </c>
      <c r="L95" s="11" t="s">
        <v>136</v>
      </c>
      <c r="M95" s="4">
        <v>1</v>
      </c>
      <c r="N95" s="4">
        <v>1</v>
      </c>
      <c r="Q95" s="11" t="s">
        <v>43</v>
      </c>
      <c r="R95" s="4">
        <v>16</v>
      </c>
      <c r="T95" s="11" t="s">
        <v>129</v>
      </c>
      <c r="U95" s="4">
        <v>1</v>
      </c>
      <c r="V95" s="4">
        <v>1</v>
      </c>
      <c r="Y95" s="11" t="s">
        <v>66</v>
      </c>
      <c r="Z95" s="12">
        <v>1.8925120772946862</v>
      </c>
    </row>
    <row r="96" spans="1:26" x14ac:dyDescent="0.25">
      <c r="D96" s="11" t="s">
        <v>66</v>
      </c>
      <c r="E96" s="4">
        <v>38</v>
      </c>
      <c r="G96" s="11" t="s">
        <v>66</v>
      </c>
      <c r="H96" s="4">
        <v>3555</v>
      </c>
      <c r="I96" s="4">
        <v>2970</v>
      </c>
      <c r="J96" s="4">
        <v>6525</v>
      </c>
      <c r="L96" s="11" t="s">
        <v>133</v>
      </c>
      <c r="M96" s="4">
        <v>1</v>
      </c>
      <c r="N96" s="4">
        <v>1</v>
      </c>
      <c r="Q96" s="11" t="s">
        <v>66</v>
      </c>
      <c r="R96" s="4">
        <v>38</v>
      </c>
      <c r="T96" s="11" t="s">
        <v>137</v>
      </c>
      <c r="U96" s="4">
        <v>1</v>
      </c>
      <c r="V96" s="4">
        <v>1</v>
      </c>
    </row>
    <row r="97" spans="12:22" x14ac:dyDescent="0.25">
      <c r="L97" s="11" t="s">
        <v>131</v>
      </c>
      <c r="M97" s="4">
        <v>2</v>
      </c>
      <c r="N97" s="4">
        <v>2</v>
      </c>
      <c r="T97" s="11" t="s">
        <v>136</v>
      </c>
      <c r="U97" s="4">
        <v>1</v>
      </c>
      <c r="V97" s="4">
        <v>1</v>
      </c>
    </row>
    <row r="98" spans="12:22" x14ac:dyDescent="0.25">
      <c r="L98" s="11" t="s">
        <v>141</v>
      </c>
      <c r="M98" s="4">
        <v>2</v>
      </c>
      <c r="N98" s="4">
        <v>2</v>
      </c>
      <c r="T98" s="11" t="s">
        <v>139</v>
      </c>
      <c r="U98" s="4">
        <v>2</v>
      </c>
      <c r="V98" s="4">
        <v>2</v>
      </c>
    </row>
    <row r="99" spans="12:22" x14ac:dyDescent="0.25">
      <c r="L99" s="11" t="s">
        <v>140</v>
      </c>
      <c r="M99" s="4">
        <v>2</v>
      </c>
      <c r="N99" s="4">
        <v>2</v>
      </c>
      <c r="T99" s="11" t="s">
        <v>141</v>
      </c>
      <c r="U99" s="4">
        <v>2</v>
      </c>
      <c r="V99" s="4">
        <v>2</v>
      </c>
    </row>
    <row r="100" spans="12:22" x14ac:dyDescent="0.25">
      <c r="L100" s="11" t="s">
        <v>49</v>
      </c>
      <c r="M100" s="4">
        <v>2</v>
      </c>
      <c r="N100" s="4">
        <v>2</v>
      </c>
      <c r="T100" s="11" t="s">
        <v>140</v>
      </c>
      <c r="U100" s="4">
        <v>2</v>
      </c>
      <c r="V100" s="4">
        <v>2</v>
      </c>
    </row>
    <row r="101" spans="12:22" x14ac:dyDescent="0.25">
      <c r="L101" s="11" t="s">
        <v>129</v>
      </c>
      <c r="M101" s="4">
        <v>3</v>
      </c>
      <c r="N101" s="4">
        <v>3</v>
      </c>
      <c r="T101" s="11" t="s">
        <v>134</v>
      </c>
      <c r="U101" s="4">
        <v>3</v>
      </c>
      <c r="V101" s="4">
        <v>3</v>
      </c>
    </row>
    <row r="102" spans="12:22" x14ac:dyDescent="0.25">
      <c r="L102" s="11" t="s">
        <v>139</v>
      </c>
      <c r="M102" s="4">
        <v>4</v>
      </c>
      <c r="N102" s="4">
        <v>4</v>
      </c>
      <c r="T102" s="11" t="s">
        <v>131</v>
      </c>
      <c r="U102" s="4">
        <v>4</v>
      </c>
      <c r="V102" s="4">
        <v>4</v>
      </c>
    </row>
    <row r="103" spans="12:22" x14ac:dyDescent="0.25">
      <c r="L103" s="11" t="s">
        <v>134</v>
      </c>
      <c r="M103" s="4">
        <v>5</v>
      </c>
      <c r="N103" s="4">
        <v>5</v>
      </c>
      <c r="T103" s="11" t="s">
        <v>66</v>
      </c>
      <c r="U103" s="4">
        <v>16</v>
      </c>
      <c r="V103" s="4">
        <v>16</v>
      </c>
    </row>
    <row r="104" spans="12:22" x14ac:dyDescent="0.25">
      <c r="L104" s="11" t="s">
        <v>66</v>
      </c>
      <c r="M104" s="4">
        <v>22</v>
      </c>
      <c r="N104" s="4">
        <v>22</v>
      </c>
    </row>
    <row r="159" spans="1:26" x14ac:dyDescent="0.25">
      <c r="A159" s="13" t="s">
        <v>78</v>
      </c>
      <c r="B159" t="s">
        <v>72</v>
      </c>
      <c r="D159" s="5" t="s">
        <v>65</v>
      </c>
      <c r="E159" t="s">
        <v>72</v>
      </c>
      <c r="G159" s="5" t="s">
        <v>76</v>
      </c>
      <c r="H159" s="5" t="s">
        <v>75</v>
      </c>
      <c r="L159" s="5" t="s">
        <v>72</v>
      </c>
      <c r="M159" s="5" t="s">
        <v>75</v>
      </c>
      <c r="Q159" s="5" t="s">
        <v>72</v>
      </c>
      <c r="R159" s="5" t="s">
        <v>75</v>
      </c>
      <c r="V159" s="5" t="s">
        <v>65</v>
      </c>
      <c r="W159" t="s">
        <v>72</v>
      </c>
      <c r="Y159" s="5" t="s">
        <v>65</v>
      </c>
      <c r="Z159" t="s">
        <v>77</v>
      </c>
    </row>
    <row r="160" spans="1:26" x14ac:dyDescent="0.25">
      <c r="B160" s="4">
        <v>22</v>
      </c>
      <c r="D160" s="11" t="s">
        <v>51</v>
      </c>
      <c r="E160" s="4">
        <v>9</v>
      </c>
      <c r="G160" s="5" t="s">
        <v>65</v>
      </c>
      <c r="H160" t="s">
        <v>51</v>
      </c>
      <c r="I160" t="s">
        <v>43</v>
      </c>
      <c r="J160" t="s">
        <v>66</v>
      </c>
      <c r="L160" s="5" t="s">
        <v>65</v>
      </c>
      <c r="M160" t="s">
        <v>43</v>
      </c>
      <c r="N160" t="s">
        <v>66</v>
      </c>
      <c r="Q160" s="5" t="s">
        <v>65</v>
      </c>
      <c r="R160" t="s">
        <v>51</v>
      </c>
      <c r="S160" t="s">
        <v>66</v>
      </c>
      <c r="V160" s="11" t="s">
        <v>51</v>
      </c>
      <c r="W160" s="4">
        <v>9</v>
      </c>
      <c r="Y160" s="11" t="s">
        <v>43</v>
      </c>
      <c r="Z160" s="12">
        <v>1.3201254486873213</v>
      </c>
    </row>
    <row r="161" spans="4:26" x14ac:dyDescent="0.25">
      <c r="D161" s="11" t="s">
        <v>43</v>
      </c>
      <c r="E161" s="4">
        <v>13</v>
      </c>
      <c r="G161" s="11" t="s">
        <v>54</v>
      </c>
      <c r="H161" s="4">
        <v>1510</v>
      </c>
      <c r="I161" s="4">
        <v>2200</v>
      </c>
      <c r="J161" s="4">
        <v>3710</v>
      </c>
      <c r="L161" s="11" t="s">
        <v>129</v>
      </c>
      <c r="M161" s="4">
        <v>1</v>
      </c>
      <c r="N161" s="4">
        <v>1</v>
      </c>
      <c r="Q161" s="11" t="s">
        <v>131</v>
      </c>
      <c r="R161" s="4">
        <v>1</v>
      </c>
      <c r="S161" s="4">
        <v>1</v>
      </c>
      <c r="V161" s="11" t="s">
        <v>43</v>
      </c>
      <c r="W161" s="4">
        <v>13</v>
      </c>
      <c r="Y161" s="11" t="s">
        <v>66</v>
      </c>
      <c r="Z161" s="12">
        <v>1.3201254486873213</v>
      </c>
    </row>
    <row r="162" spans="4:26" x14ac:dyDescent="0.25">
      <c r="D162" s="11" t="s">
        <v>66</v>
      </c>
      <c r="E162" s="4">
        <v>22</v>
      </c>
      <c r="G162" s="11" t="s">
        <v>66</v>
      </c>
      <c r="H162" s="4">
        <v>1510</v>
      </c>
      <c r="I162" s="4">
        <v>2200</v>
      </c>
      <c r="J162" s="4">
        <v>3710</v>
      </c>
      <c r="L162" s="11" t="s">
        <v>133</v>
      </c>
      <c r="M162" s="4">
        <v>2</v>
      </c>
      <c r="N162" s="4">
        <v>2</v>
      </c>
      <c r="Q162" s="11" t="s">
        <v>134</v>
      </c>
      <c r="R162" s="4">
        <v>2</v>
      </c>
      <c r="S162" s="4">
        <v>2</v>
      </c>
      <c r="V162" s="11" t="s">
        <v>66</v>
      </c>
      <c r="W162" s="4">
        <v>22</v>
      </c>
    </row>
    <row r="163" spans="4:26" x14ac:dyDescent="0.25">
      <c r="L163" s="11" t="s">
        <v>136</v>
      </c>
      <c r="M163" s="4">
        <v>10</v>
      </c>
      <c r="N163" s="4">
        <v>10</v>
      </c>
      <c r="Q163" s="11" t="s">
        <v>136</v>
      </c>
      <c r="R163" s="4">
        <v>6</v>
      </c>
      <c r="S163" s="4">
        <v>6</v>
      </c>
    </row>
    <row r="164" spans="4:26" x14ac:dyDescent="0.25">
      <c r="L164" s="11" t="s">
        <v>66</v>
      </c>
      <c r="M164" s="4">
        <v>13</v>
      </c>
      <c r="N164" s="4">
        <v>13</v>
      </c>
      <c r="Q164" s="11" t="s">
        <v>66</v>
      </c>
      <c r="R164" s="4">
        <v>9</v>
      </c>
      <c r="S164" s="4">
        <v>9</v>
      </c>
    </row>
    <row r="256" spans="1:26" x14ac:dyDescent="0.25">
      <c r="A256" s="13" t="s">
        <v>79</v>
      </c>
      <c r="B256" t="s">
        <v>72</v>
      </c>
      <c r="D256" s="5" t="s">
        <v>65</v>
      </c>
      <c r="E256" t="s">
        <v>72</v>
      </c>
      <c r="G256" s="5" t="s">
        <v>76</v>
      </c>
      <c r="H256" s="5" t="s">
        <v>75</v>
      </c>
      <c r="L256" s="5" t="s">
        <v>72</v>
      </c>
      <c r="M256" s="5" t="s">
        <v>75</v>
      </c>
      <c r="Q256" s="5" t="s">
        <v>65</v>
      </c>
      <c r="R256" t="s">
        <v>72</v>
      </c>
      <c r="T256" s="5" t="s">
        <v>72</v>
      </c>
      <c r="U256" s="5" t="s">
        <v>75</v>
      </c>
      <c r="Y256" s="5" t="s">
        <v>65</v>
      </c>
      <c r="Z256" t="s">
        <v>77</v>
      </c>
    </row>
    <row r="257" spans="2:26" x14ac:dyDescent="0.25">
      <c r="B257" s="4">
        <v>61</v>
      </c>
      <c r="D257" s="11" t="s">
        <v>51</v>
      </c>
      <c r="E257" s="4">
        <v>31</v>
      </c>
      <c r="G257" s="5" t="s">
        <v>65</v>
      </c>
      <c r="H257" t="s">
        <v>51</v>
      </c>
      <c r="I257" t="s">
        <v>43</v>
      </c>
      <c r="J257" t="s">
        <v>66</v>
      </c>
      <c r="L257" s="5" t="s">
        <v>65</v>
      </c>
      <c r="M257" t="s">
        <v>51</v>
      </c>
      <c r="N257" t="s">
        <v>66</v>
      </c>
      <c r="Q257" s="11" t="s">
        <v>51</v>
      </c>
      <c r="R257" s="4">
        <v>31</v>
      </c>
      <c r="T257" s="5" t="s">
        <v>65</v>
      </c>
      <c r="U257" t="s">
        <v>43</v>
      </c>
      <c r="V257" t="s">
        <v>66</v>
      </c>
      <c r="Y257" s="11" t="s">
        <v>43</v>
      </c>
      <c r="Z257" s="12">
        <v>1.4363693349055668</v>
      </c>
    </row>
    <row r="258" spans="2:26" x14ac:dyDescent="0.25">
      <c r="D258" s="11" t="s">
        <v>43</v>
      </c>
      <c r="E258" s="4">
        <v>30</v>
      </c>
      <c r="G258" s="11" t="s">
        <v>50</v>
      </c>
      <c r="H258" s="4">
        <v>4940</v>
      </c>
      <c r="I258" s="4">
        <v>5180</v>
      </c>
      <c r="J258" s="4">
        <v>10120</v>
      </c>
      <c r="L258" s="11" t="s">
        <v>131</v>
      </c>
      <c r="M258" s="4">
        <v>1</v>
      </c>
      <c r="N258" s="4">
        <v>1</v>
      </c>
      <c r="Q258" s="11" t="s">
        <v>43</v>
      </c>
      <c r="R258" s="4">
        <v>30</v>
      </c>
      <c r="T258" s="11" t="s">
        <v>133</v>
      </c>
      <c r="U258" s="4">
        <v>1</v>
      </c>
      <c r="V258" s="4">
        <v>1</v>
      </c>
      <c r="Y258" s="11" t="s">
        <v>66</v>
      </c>
      <c r="Z258" s="12">
        <v>1.4363693349055668</v>
      </c>
    </row>
    <row r="259" spans="2:26" x14ac:dyDescent="0.25">
      <c r="D259" s="11" t="s">
        <v>66</v>
      </c>
      <c r="E259" s="4">
        <v>61</v>
      </c>
      <c r="G259" s="11" t="s">
        <v>66</v>
      </c>
      <c r="H259" s="4">
        <v>4940</v>
      </c>
      <c r="I259" s="4">
        <v>5180</v>
      </c>
      <c r="J259" s="4">
        <v>10120</v>
      </c>
      <c r="L259" s="11" t="s">
        <v>140</v>
      </c>
      <c r="M259" s="4">
        <v>2</v>
      </c>
      <c r="N259" s="4">
        <v>2</v>
      </c>
      <c r="Q259" s="11" t="s">
        <v>66</v>
      </c>
      <c r="R259" s="4">
        <v>61</v>
      </c>
      <c r="T259" s="11" t="s">
        <v>49</v>
      </c>
      <c r="U259" s="4">
        <v>1</v>
      </c>
      <c r="V259" s="4">
        <v>1</v>
      </c>
    </row>
    <row r="260" spans="2:26" x14ac:dyDescent="0.25">
      <c r="L260" s="11" t="s">
        <v>129</v>
      </c>
      <c r="M260" s="4">
        <v>3</v>
      </c>
      <c r="N260" s="4">
        <v>3</v>
      </c>
      <c r="T260" s="11" t="s">
        <v>129</v>
      </c>
      <c r="U260" s="4">
        <v>2</v>
      </c>
      <c r="V260" s="4">
        <v>2</v>
      </c>
    </row>
    <row r="261" spans="2:26" x14ac:dyDescent="0.25">
      <c r="L261" s="11" t="s">
        <v>49</v>
      </c>
      <c r="M261" s="4">
        <v>3</v>
      </c>
      <c r="N261" s="4">
        <v>3</v>
      </c>
      <c r="T261" s="11" t="s">
        <v>141</v>
      </c>
      <c r="U261" s="4">
        <v>2</v>
      </c>
      <c r="V261" s="4">
        <v>2</v>
      </c>
    </row>
    <row r="262" spans="2:26" x14ac:dyDescent="0.25">
      <c r="L262" s="11" t="s">
        <v>139</v>
      </c>
      <c r="M262" s="4">
        <v>4</v>
      </c>
      <c r="N262" s="4">
        <v>4</v>
      </c>
      <c r="T262" s="11" t="s">
        <v>137</v>
      </c>
      <c r="U262" s="4">
        <v>3</v>
      </c>
      <c r="V262" s="4">
        <v>3</v>
      </c>
    </row>
    <row r="263" spans="2:26" x14ac:dyDescent="0.25">
      <c r="L263" s="11" t="s">
        <v>136</v>
      </c>
      <c r="M263" s="4">
        <v>5</v>
      </c>
      <c r="N263" s="4">
        <v>5</v>
      </c>
      <c r="T263" s="11" t="s">
        <v>131</v>
      </c>
      <c r="U263" s="4">
        <v>3</v>
      </c>
      <c r="V263" s="4">
        <v>3</v>
      </c>
    </row>
    <row r="264" spans="2:26" x14ac:dyDescent="0.25">
      <c r="L264" s="11" t="s">
        <v>141</v>
      </c>
      <c r="M264" s="4">
        <v>6</v>
      </c>
      <c r="N264" s="4">
        <v>6</v>
      </c>
      <c r="T264" s="11" t="s">
        <v>136</v>
      </c>
      <c r="U264" s="4">
        <v>4</v>
      </c>
      <c r="V264" s="4">
        <v>4</v>
      </c>
    </row>
    <row r="265" spans="2:26" x14ac:dyDescent="0.25">
      <c r="L265" s="11" t="s">
        <v>134</v>
      </c>
      <c r="M265" s="4">
        <v>7</v>
      </c>
      <c r="N265" s="4">
        <v>7</v>
      </c>
      <c r="T265" s="11" t="s">
        <v>140</v>
      </c>
      <c r="U265" s="4">
        <v>4</v>
      </c>
      <c r="V265" s="4">
        <v>4</v>
      </c>
    </row>
    <row r="266" spans="2:26" x14ac:dyDescent="0.25">
      <c r="L266" s="11" t="s">
        <v>66</v>
      </c>
      <c r="M266" s="4">
        <v>31</v>
      </c>
      <c r="N266" s="4">
        <v>31</v>
      </c>
      <c r="T266" s="11" t="s">
        <v>139</v>
      </c>
      <c r="U266" s="4">
        <v>4</v>
      </c>
      <c r="V266" s="4">
        <v>4</v>
      </c>
    </row>
    <row r="267" spans="2:26" x14ac:dyDescent="0.25">
      <c r="T267" s="11" t="s">
        <v>134</v>
      </c>
      <c r="U267" s="4">
        <v>6</v>
      </c>
      <c r="V267" s="4">
        <v>6</v>
      </c>
    </row>
    <row r="268" spans="2:26" x14ac:dyDescent="0.25">
      <c r="T268" s="11" t="s">
        <v>66</v>
      </c>
      <c r="U268" s="4">
        <v>30</v>
      </c>
      <c r="V268" s="4">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FDFADE9-1E7C-45F3-81C5-49FEB8D619E5}">
  <ds:schemaRefs/>
</ds:datastoreItem>
</file>

<file path=customXml/itemProps2.xml><?xml version="1.0" encoding="utf-8"?>
<ds:datastoreItem xmlns:ds="http://schemas.openxmlformats.org/officeDocument/2006/customXml" ds:itemID="{CC547475-17F2-4AFE-8253-DF8AA1DEA218}">
  <ds:schemaRefs/>
</ds:datastoreItem>
</file>

<file path=customXml/itemProps3.xml><?xml version="1.0" encoding="utf-8"?>
<ds:datastoreItem xmlns:ds="http://schemas.openxmlformats.org/officeDocument/2006/customXml" ds:itemID="{98FBE570-3D10-4912-ABF5-D611E06BBDB9}">
  <ds:schemaRefs/>
</ds:datastoreItem>
</file>

<file path=customXml/itemProps4.xml><?xml version="1.0" encoding="utf-8"?>
<ds:datastoreItem xmlns:ds="http://schemas.openxmlformats.org/officeDocument/2006/customXml" ds:itemID="{A9349393-2347-4991-82FC-98127BB571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OVERALL</vt:lpstr>
      <vt:lpstr>DIRECTION WISE</vt:lpstr>
      <vt:lpstr>STRATEGY WISE</vt:lpstr>
      <vt:lpstr>DAYS WISE</vt:lpstr>
      <vt:lpstr>TRADE ENTRY</vt:lpstr>
      <vt:lpstr>RULES</vt:lpstr>
      <vt:lpstr>PIVOT TABLE</vt:lpstr>
      <vt:lpstr>'TRADE ENTRY'!AM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2025-02-21T05:24:06Z</dcterms:created>
  <dcterms:modified xsi:type="dcterms:W3CDTF">2025-03-01T07:22:08Z</dcterms:modified>
</cp:coreProperties>
</file>